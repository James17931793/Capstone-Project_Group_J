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11.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ource_Log" sheetId="2" state="visible" r:id="rId4"/>
    <sheet name="Harmonisation" sheetId="3" state="visible" r:id="rId5"/>
    <sheet name="Quarterly_Panel" sheetId="4" state="visible" r:id="rId6"/>
    <sheet name="Wage_Hikes" sheetId="5" state="visible" r:id="rId7"/>
    <sheet name="FX_USDINR" sheetId="6" state="visible" r:id="rId8"/>
    <sheet name="TCS_Commentary" sheetId="7" state="visible" r:id="rId9"/>
    <sheet name="Margin_Walks" sheetId="8" state="visible" r:id="rId10"/>
    <sheet name="Policy_Events" sheetId="9" state="visible" r:id="rId11"/>
    <sheet name="Coverage_Check" sheetId="10" state="visible" r:id="rId12"/>
    <sheet name="Data_Quality_Log" sheetId="11" state="visible" r:id="rId13"/>
    <sheet name="Bloomberg_File_Audit" sheetId="12" state="visible" r:id="rId14"/>
    <sheet name="Bloomberg_Values" sheetId="13" state="visible" r:id="rId15"/>
    <sheet name="BBG_KPIC_Request" sheetId="14" state="visible" r:id="rId16"/>
    <sheet name="Changelog"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<sst xmlns="http://schemas.openxmlformats.org/spreadsheetml/2006/main" count="5302" uniqueCount="1933">
  <si>
    <t xml:space="preserve">Project MarginSpring — D2 Data Ingestion &amp; Governance Dataset</t>
  </si>
  <si>
    <t xml:space="preserve">Version v1.3 · built 2026-10-23 · Team J (owner: James Mathew) · ANCP Module 2</t>
  </si>
  <si>
    <t xml:space="preserve">What this workbook is</t>
  </si>
  <si>
    <t xml:space="preserve">The cleaned, versioned dataset for D2. Raw files are never edited; every number here traces to a Source_Log id.</t>
  </si>
  <si>
    <t xml:space="preserve">Sheets</t>
  </si>
  <si>
    <t xml:space="preserve">Source_Log — every source: publisher, URL, period, date accessed, licence/terms, verification note</t>
  </si>
  <si>
    <t xml:space="preserve">Harmonisation — canonical variable definitions and how each firm / Bloomberg labels them</t>
  </si>
  <si>
    <t xml:space="preserve">Quarterly_Panel — one row per firm-quarter: Wipro Q1 FY15–Q2 FY27 (50), Infosys Q4 FY19–Q1 FY27, TCS Q4 FY22–Q2 FY27, HCLTech Q2 FY25–Q2 FY27, LTIMindtree Q2 FY23–Q1 FY27, Tech Mahindra Q4 FY24–Q2 FY27. Columns Q–S are D4 controls: wage-hike quarter flag, USD/INR quarterly average, one-off flag</t>
  </si>
  <si>
    <t xml:space="preserve">Wage_Hikes — salary-hike effective dates and first fiscal quarter of impact (Wipro FY21–FY27, Infosys FY21–FY27, TCS FY25–FY27)</t>
  </si>
  <si>
    <t xml:space="preserve">FX_USDINR — monthly USD/INR (US Federal Reserve G.5 via FRED), Jan 2014–Sep 2026, mapped to fiscal quarters</t>
  </si>
  <si>
    <t xml:space="preserve">TCS_Commentary — what TCS management said about utilisation, bench and capacity each quarter around the June 2025 policy</t>
  </si>
  <si>
    <t xml:space="preserve">Margin_Walks — management statements of margin change by driver, tiered A/B/C</t>
  </si>
  <si>
    <t xml:space="preserve">Policy_Events — bench-policy dates for TCS and Wipro</t>
  </si>
  <si>
    <t xml:space="preserve">Coverage_Check — week-1 coverage check against D1 success metrics (live formulas)</t>
  </si>
  <si>
    <t xml:space="preserve">Data_Quality_Log — issues found, severity, action, owner, status</t>
  </si>
  <si>
    <t xml:space="preserve">Bloomberg_File_Audit — 26 Bloomberg exports: cells requested vs values actually present</t>
  </si>
  <si>
    <t xml:space="preserve">Bloomberg_Values — the 282 values that were cached in the exports (Wipro, TTM to Sep-2026 + estimates)</t>
  </si>
  <si>
    <t xml:space="preserve">BBG_KPIC_Request — what the KPI Comparison file asks Bloomberg for (firms x metrics); re-pull list</t>
  </si>
  <si>
    <t xml:space="preserve">Changelog — version history</t>
  </si>
  <si>
    <t xml:space="preserve">Conventions</t>
  </si>
  <si>
    <t xml:space="preserve">Blue text = hard-keyed value from a source. Black text = formula. Percent columns hold percent numbers (16.5 = 16.5%).</t>
  </si>
  <si>
    <t xml:space="preserve">Blank = not published by the firm or not yet collected. Nothing is imputed, estimated or proxied (D1 data rule).</t>
  </si>
  <si>
    <t xml:space="preserve">Bloomberg estimates (Est / forward offsets) are flagged is_estimate = 1 and are never used as actuals.</t>
  </si>
  <si>
    <t xml:space="preserve">Fiscal year April–March. Q2 FY27 = quarter ended 30 Sep 2026 = Bloomberg CY2026 Q3.</t>
  </si>
  <si>
    <t xml:space="preserve">Reproduce</t>
  </si>
  <si>
    <t xml:space="preserve">1) python scripts/ingest_bloomberg.py raw/bloomberg_v0 data/interim   2) python scripts/build_d2_workbook.py data/interim data/processed</t>
  </si>
  <si>
    <t xml:space="preserve">Peer data now comes from company filings (v1.1). If refreshed Bloomberg files arrive later, save them to raw/bloomberg_v1, rerun, and use them as a third source; bump the version and log it in Changelog.</t>
  </si>
  <si>
    <t xml:space="preserve">source_id</t>
  </si>
  <si>
    <t xml:space="preserve">publisher</t>
  </si>
  <si>
    <t xml:space="preserve">document</t>
  </si>
  <si>
    <t xml:space="preserve">url</t>
  </si>
  <si>
    <t xml:space="preserve">periods_covered</t>
  </si>
  <si>
    <t xml:space="preserve">source_type</t>
  </si>
  <si>
    <t xml:space="preserve">licence_terms</t>
  </si>
  <si>
    <t xml:space="preserve">used_for</t>
  </si>
  <si>
    <t xml:space="preserve">verification_note</t>
  </si>
  <si>
    <t xml:space="preserve">date_accessed</t>
  </si>
  <si>
    <t xml:space="preserve">S01</t>
  </si>
  <si>
    <t xml:space="preserve">Bloomberg L.P. (via XIME terminal)</t>
  </si>
  <si>
    <t xml:space="preserve">26 Excel exports: FA pages (BDH) for WPRO IN; KPI Comparison 'IT Services' (BQL); Company Financial multi-period (BQL)</t>
  </si>
  <si>
    <t xml:space="preserve">Bloomberg Terminal (no URL)</t>
  </si>
  <si>
    <t xml:space="preserve">FY2015–FY2028E annual; CY2025Q2–CY2027Q1 quarterly</t>
  </si>
  <si>
    <t xml:space="preserve">Licensed database</t>
  </si>
  <si>
    <t xml:space="preserve">Bloomberg subscription terms: internal academic use; raw data not to be republished</t>
  </si>
  <si>
    <t xml:space="preserve">Financial panel (annual), peer KPI panel (once refreshed)</t>
  </si>
  <si>
    <t xml:space="preserve">97.7% of requested cells unevaluated; see Bloomberg_File_Audit</t>
  </si>
  <si>
    <t xml:space="preserve">2026-10-23</t>
  </si>
  <si>
    <t xml:space="preserve">S02</t>
  </si>
  <si>
    <t xml:space="preserve">Wipro Ltd</t>
  </si>
  <si>
    <t xml:space="preserve">Analyst datasheet Q2 FY27</t>
  </si>
  <si>
    <t xml:space="preserve">https://www.wipro.com/content/dam/nexus/en/investor/quarterly-results/2026-2027/q2fy27/datasheet-q2fy27.pdf</t>
  </si>
  <si>
    <t xml:space="preserve">Q1 FY26–Q2 FY27</t>
  </si>
  <si>
    <t xml:space="preserve">Company disclosure (primary)</t>
  </si>
  <si>
    <t xml:space="preserve">Public investor disclosure; academic use</t>
  </si>
  <si>
    <t xml:space="preserve">Wipro capacity &amp; margin panel</t>
  </si>
  <si>
    <t xml:space="preserve">Matches D1 table for all 5 overlapping quarters</t>
  </si>
  <si>
    <t xml:space="preserve">S03</t>
  </si>
  <si>
    <t xml:space="preserve">Analyst datasheet Q4 FY25</t>
  </si>
  <si>
    <t xml:space="preserve">https://www.wipro.com/content/dam/nexus/en/investor/quarterly-results/2024-2025/q4fy25/datasheet-q4fy25.pdf</t>
  </si>
  <si>
    <t xml:space="preserve">Q4 FY24–Q4 FY25</t>
  </si>
  <si>
    <t xml:space="preserve">Wipro panel</t>
  </si>
  <si>
    <t xml:space="preserve">S04</t>
  </si>
  <si>
    <t xml:space="preserve">Analyst datasheet Q3 FY24</t>
  </si>
  <si>
    <t xml:space="preserve">https://www.wipro.com/content/dam/nexus/en/investor/quarterly-results/2023-2024/q3fy24/datasheet-q3fy24.pdf</t>
  </si>
  <si>
    <t xml:space="preserve">Q2–Q3 FY24</t>
  </si>
  <si>
    <t xml:space="preserve">Wipro panel (fills Q3 FY24); cross-checks Q2 FY24 vs S05</t>
  </si>
  <si>
    <t xml:space="preserve">Q2 FY24 identical to S05</t>
  </si>
  <si>
    <t xml:space="preserve">S05</t>
  </si>
  <si>
    <t xml:space="preserve">Analyst datasheet Q2 FY24</t>
  </si>
  <si>
    <t xml:space="preserve">https://www.wipro.com/content/dam/nexus/en/investor/quarterly-results/2023-2024/q2fy24/datasheet-q2fy24.pdf</t>
  </si>
  <si>
    <t xml:space="preserve">Q1 FY23–Q2 FY24</t>
  </si>
  <si>
    <t xml:space="preserve">S06</t>
  </si>
  <si>
    <t xml:space="preserve">Analyst datasheet Q4 FY22</t>
  </si>
  <si>
    <t xml:space="preserve">https://www.wipro.com/content/dam/nexus/en/investor/quarterly-results/2021-2022/q4fy22/analyst-data-sheet-q4-fy22.pdf</t>
  </si>
  <si>
    <t xml:space="preserve">Q4 FY21–Q4 FY22</t>
  </si>
  <si>
    <t xml:space="preserve">Wipro panel (incl. gross utilisation)</t>
  </si>
  <si>
    <t xml:space="preserve">S07</t>
  </si>
  <si>
    <t xml:space="preserve">Analyst datasheet Q3 FY21</t>
  </si>
  <si>
    <t xml:space="preserve">https://www.wipro.com/content/dam/nexus/en/investor/quarterly-results/2020-2021/q3fy21/analyst-data-sheet-q3-fy21..pdf</t>
  </si>
  <si>
    <t xml:space="preserve">Q3 FY21</t>
  </si>
  <si>
    <t xml:space="preserve">Wipro panel (fills Q3 FY21)</t>
  </si>
  <si>
    <t xml:space="preserve">S08</t>
  </si>
  <si>
    <t xml:space="preserve">Analyst datasheet Q2 FY21</t>
  </si>
  <si>
    <t xml:space="preserve">https://www.wipro.com/content/dam/nexus/en/investor/quarterly-results/2020-2021/q2fy21/analyst-data-sheet-q2-fy21.pdf</t>
  </si>
  <si>
    <t xml:space="preserve">Q1 FY20–Q2 FY21</t>
  </si>
  <si>
    <t xml:space="preserve">S09</t>
  </si>
  <si>
    <t xml:space="preserve">Investor quarterly-results index (links to all datasheets FY12–FY27)</t>
  </si>
  <si>
    <t xml:space="preserve">https://www.wipro.com/investors/quarterly-results/</t>
  </si>
  <si>
    <t xml:space="preserve">FY12–FY27</t>
  </si>
  <si>
    <t xml:space="preserve">Company website</t>
  </si>
  <si>
    <t xml:space="preserve">Public</t>
  </si>
  <si>
    <t xml:space="preserve">Locating datasheets for back-fill to 40 quarters</t>
  </si>
  <si>
    <t xml:space="preserve">S10</t>
  </si>
  <si>
    <t xml:space="preserve">Tata Consultancy Services</t>
  </si>
  <si>
    <t xml:space="preserve">Fact sheet Q2 FY27</t>
  </si>
  <si>
    <t xml:space="preserve">https://www.tcs.com/content/dam/tcs/investor-relations/financial-statements/2026-27/q2/Presentations/Q2%202026-27%20Fact%20Sheet.pdf</t>
  </si>
  <si>
    <t xml:space="preserve">TCS margin &amp; headcount panel</t>
  </si>
  <si>
    <t xml:space="preserve">Utilisation not disclosed</t>
  </si>
  <si>
    <t xml:space="preserve">S11</t>
  </si>
  <si>
    <t xml:space="preserve">HCL Technologies</t>
  </si>
  <si>
    <t xml:space="preserve">Investor release Q2 FY27</t>
  </si>
  <si>
    <t xml:space="preserve">https://www.hcltech.com/sites/default/files/document/open/quarter-results/2026-10/hcltech-Q2-fy27-Investor-release.pdf</t>
  </si>
  <si>
    <t xml:space="preserve">Q2 FY26–Q2 FY27</t>
  </si>
  <si>
    <t xml:space="preserve">HCLTech margin, headcount, attrition</t>
  </si>
  <si>
    <t xml:space="preserve">S12</t>
  </si>
  <si>
    <t xml:space="preserve">Infosys Ltd</t>
  </si>
  <si>
    <t xml:space="preserve">Fact sheet Q1 FY27</t>
  </si>
  <si>
    <t xml:space="preserve">https://www.infosys.com/investors/reports-filings/quarterly-results/2026-2027/q1/documents/fact-sheet.pdf</t>
  </si>
  <si>
    <t xml:space="preserve">Q1 FY26, Q4 FY26, Q1 FY27</t>
  </si>
  <si>
    <t xml:space="preserve">Infosys panel</t>
  </si>
  <si>
    <t xml:space="preserve">Q4 FY26 margin 20.9 (USD table) vs 21.0 (INR table)</t>
  </si>
  <si>
    <t xml:space="preserve">S13</t>
  </si>
  <si>
    <t xml:space="preserve">Fact sheet Q2 FY26</t>
  </si>
  <si>
    <t xml:space="preserve">https://www.infosys.com/investors/reports-filings/quarterly-results/2025-2026/q2/documents/fact-sheet.pdf</t>
  </si>
  <si>
    <t xml:space="preserve">Q2 FY25, Q1 FY26, Q2 FY26</t>
  </si>
  <si>
    <t xml:space="preserve">Q1 FY26 identical to S12</t>
  </si>
  <si>
    <t xml:space="preserve">S14</t>
  </si>
  <si>
    <t xml:space="preserve">Infosys Ltd via The Motley Fool</t>
  </si>
  <si>
    <t xml:space="preserve">Q1 FY27 earnings call transcript (23 Jul 2026)</t>
  </si>
  <si>
    <t xml:space="preserve">https://www.fool.com/earnings/call-transcripts/2026/07/23/infosys-infy-q1-2027-earnings-call-transcript/</t>
  </si>
  <si>
    <t xml:space="preserve">Q1 FY27</t>
  </si>
  <si>
    <t xml:space="preserve">Transcript (third-party)</t>
  </si>
  <si>
    <t xml:space="preserve">Quoted sparingly; academic use</t>
  </si>
  <si>
    <t xml:space="preserve">Margin walk</t>
  </si>
  <si>
    <t xml:space="preserve">Utilisation +1.9 pts confirmed vs S12 (83.0→84.9)</t>
  </si>
  <si>
    <t xml:space="preserve">S15</t>
  </si>
  <si>
    <t xml:space="preserve">Q4 FY25 earnings call transcript</t>
  </si>
  <si>
    <t xml:space="preserve">https://www.infosys.com/investors/reports-filings/quarterly-results/2024-2025/q4/documents/transcripts/earningscall.pdf</t>
  </si>
  <si>
    <t xml:space="preserve">Q4 FY25</t>
  </si>
  <si>
    <t xml:space="preserve">Transcript (company)</t>
  </si>
  <si>
    <t xml:space="preserve">S16</t>
  </si>
  <si>
    <t xml:space="preserve">Q1 FY23 earnings call transcript (24 Jul 2022); also SEC Form 6-K exv99w05</t>
  </si>
  <si>
    <t xml:space="preserve">https://www.infosys.com/investors/reports-filings/quarterly-results/2022-2023/q1/documents/transcripts/earningscall.pdf</t>
  </si>
  <si>
    <t xml:space="preserve">Q1 FY23</t>
  </si>
  <si>
    <t xml:space="preserve">Margin walk (Tier A)</t>
  </si>
  <si>
    <t xml:space="preserve">Two copies agree (infosys.com and SEC 6-K https://sec.gov/Archives/edgar/data/1067491/000106749122000036/exv99w05.htm)</t>
  </si>
  <si>
    <t xml:space="preserve">S17</t>
  </si>
  <si>
    <t xml:space="preserve">Q3 FY21 earnings call transcript</t>
  </si>
  <si>
    <t xml:space="preserve">https://www.infosys.com/investors/reports-filings/quarterly-results/2020-2021/q3/documents/transcripts/earningscall.pdf</t>
  </si>
  <si>
    <t xml:space="preserve">Margin walk (Tier B)</t>
  </si>
  <si>
    <t xml:space="preserve">S18</t>
  </si>
  <si>
    <t xml:space="preserve">Q3 FY25 earnings call transcript</t>
  </si>
  <si>
    <t xml:space="preserve">https://www.infosys.com/investors/reports-filings/quarterly-results/2024-2025/q3/documents/transcripts/earningscall.pdf</t>
  </si>
  <si>
    <t xml:space="preserve">Q3 FY25</t>
  </si>
  <si>
    <t xml:space="preserve">Margin walk (Tier C)</t>
  </si>
  <si>
    <t xml:space="preserve">S19</t>
  </si>
  <si>
    <t xml:space="preserve">Q2 FY25 earnings call transcript</t>
  </si>
  <si>
    <t xml:space="preserve">https://www.infosys.com/investors/reports-filings/quarterly-results/2024-2025/q2/documents/transcripts/earningscall.pdf</t>
  </si>
  <si>
    <t xml:space="preserve">Q2 FY25</t>
  </si>
  <si>
    <t xml:space="preserve">Utilisation 85.9% matches S13</t>
  </si>
  <si>
    <t xml:space="preserve">S20</t>
  </si>
  <si>
    <t xml:space="preserve">Infosys Ltd (SEC Form 6-K)</t>
  </si>
  <si>
    <t xml:space="preserve">Q1 FY26 earnings call transcript (23 Jul 2025)</t>
  </si>
  <si>
    <t xml:space="preserve">https://www.sec.gov/Archives/edgar/data/1067491/000106749125000022/exv99w05.htm</t>
  </si>
  <si>
    <t xml:space="preserve">Q1 FY26</t>
  </si>
  <si>
    <t xml:space="preserve">Regulatory filing</t>
  </si>
  <si>
    <t xml:space="preserve">Public filing; academic use</t>
  </si>
  <si>
    <t xml:space="preserve">Utilisation 85.2% matches S12/S13</t>
  </si>
  <si>
    <t xml:space="preserve">S21</t>
  </si>
  <si>
    <t xml:space="preserve">Q3 FY23 earnings call transcript</t>
  </si>
  <si>
    <t xml:space="preserve">https://www.infosys.com/investors/reports-filings/quarterly-results/2022-2023/q3/documents/transcripts/earningscall.pdf</t>
  </si>
  <si>
    <t xml:space="preserve">Q3 FY23</t>
  </si>
  <si>
    <t xml:space="preserve">S22</t>
  </si>
  <si>
    <t xml:space="preserve">Q2 FY24 media call transcript (12 Oct 2023)</t>
  </si>
  <si>
    <t xml:space="preserve">https://www.sec.gov/Archives/edgar/data/1067491/000106749123000057/exv99w05.htm</t>
  </si>
  <si>
    <t xml:space="preserve">Q2 FY24</t>
  </si>
  <si>
    <t xml:space="preserve">S23</t>
  </si>
  <si>
    <t xml:space="preserve">Q4 FY25 earnings call transcript (10 Apr 2025)</t>
  </si>
  <si>
    <t xml:space="preserve">https://www.tcs.com/content/dam/tcs/investor-relations/financial-statements/2024-25/q4/Management Commentary/Transcript of the Q4 2024-25 Earnings Conference Call held at 1900 hrs IST on Apr 10, 2025.pdf</t>
  </si>
  <si>
    <t xml:space="preserve">Q4 FY25, FY25</t>
  </si>
  <si>
    <t xml:space="preserve">Named drivers do not sum to reported change</t>
  </si>
  <si>
    <t xml:space="preserve">S24</t>
  </si>
  <si>
    <t xml:space="preserve">Wipro Ltd via The Motley Fool</t>
  </si>
  <si>
    <t xml:space="preserve">Q1 FY21 earnings call transcript (14 Jul 2020)</t>
  </si>
  <si>
    <t xml:space="preserve">https://www.fool.com/earnings/call-transcripts/2020/07/14/wipro-limited-wit-q1-2021-earnings-call-transcript.aspx</t>
  </si>
  <si>
    <t xml:space="preserve">Q1 FY21</t>
  </si>
  <si>
    <t xml:space="preserve">Transcript (third-party, auto-generated)</t>
  </si>
  <si>
    <t xml:space="preserve">Auto-transcript; components do not reconcile cleanly</t>
  </si>
  <si>
    <t xml:space="preserve">S25</t>
  </si>
  <si>
    <t xml:space="preserve">Bank of Baroda Capital Markets</t>
  </si>
  <si>
    <t xml:space="preserve">HCLTech Q1 FY26 result review (15 Jul 2025)</t>
  </si>
  <si>
    <t xml:space="preserve">https://www.barodaetrade.com/Reports/HCLTechnologies-Q1FY26ResultReview15Jul25-Research.pdf</t>
  </si>
  <si>
    <t xml:space="preserve">Broker research (secondary)</t>
  </si>
  <si>
    <t xml:space="preserve">Publicly posted research; quote only</t>
  </si>
  <si>
    <t xml:space="preserve">Agrees with D1 source S33 (80 bps)</t>
  </si>
  <si>
    <t xml:space="preserve">S26</t>
  </si>
  <si>
    <t xml:space="preserve">Outlook Business</t>
  </si>
  <si>
    <t xml:space="preserve">HCLTech shares in focus after Q1 underwhelms (Jul 2025)</t>
  </si>
  <si>
    <t xml:space="preserve">https://www.outlookbusiness.com/markets/hcltech-shares-in-focus-after-q1-underwhelms-margin-misses</t>
  </si>
  <si>
    <t xml:space="preserve">News (secondary)</t>
  </si>
  <si>
    <t xml:space="preserve">Quote only</t>
  </si>
  <si>
    <t xml:space="preserve">HCLTech Q1 FY26 margin level</t>
  </si>
  <si>
    <t xml:space="preserve">Reports 160 bps fall; Emkay says 170 bps</t>
  </si>
  <si>
    <t xml:space="preserve">S27</t>
  </si>
  <si>
    <t xml:space="preserve">AlphaStreet</t>
  </si>
  <si>
    <t xml:space="preserve">HCLTech Q2 FY24 earnings call insights</t>
  </si>
  <si>
    <t xml:space="preserve">https://alphastreet.com/india/hcl-technologies-limited-q2-fy24-earnings-conference-call-insights</t>
  </si>
  <si>
    <t xml:space="preserve">Call summary (secondary)</t>
  </si>
  <si>
    <t xml:space="preserve">S28</t>
  </si>
  <si>
    <t xml:space="preserve">Sharekhan</t>
  </si>
  <si>
    <t xml:space="preserve">Tech Mahindra Q1 FY26 result note (16 Jul 2025)</t>
  </si>
  <si>
    <t xml:space="preserve">https://www.sharekhan.com/MediaGalary/docs/TechM-Jul16_2025-202507171645286735867.pdf</t>
  </si>
  <si>
    <t xml:space="preserve">TechM margin, utilisation (Tier C walk)</t>
  </si>
  <si>
    <t xml:space="preserve">Internal conflict: utilisation fall stated as 130 bps and 80 bps</t>
  </si>
  <si>
    <t xml:space="preserve">S29</t>
  </si>
  <si>
    <t xml:space="preserve">Multibagg</t>
  </si>
  <si>
    <t xml:space="preserve">Tech Mahindra Q2 FY27 results</t>
  </si>
  <si>
    <t xml:space="preserve">https://www.multibagg.ai/market-pulse/articles/tech-mahindra-q2-fy27-results-cmvaqmppj00052umtdvlhbclv</t>
  </si>
  <si>
    <t xml:space="preserve">Q1–Q2 FY27</t>
  </si>
  <si>
    <t xml:space="preserve">News aggregator (secondary)</t>
  </si>
  <si>
    <t xml:space="preserve">TechM margin, headcount, attrition</t>
  </si>
  <si>
    <t xml:space="preserve">Single source; replace with TechM fact sheet</t>
  </si>
  <si>
    <t xml:space="preserve">S30</t>
  </si>
  <si>
    <t xml:space="preserve">ICICI Direct</t>
  </si>
  <si>
    <t xml:space="preserve">LTIMindtree Q2 FY26 result update</t>
  </si>
  <si>
    <t xml:space="preserve">https://www.icicidirect.com/mailcontent/idirect_ltim_q2fy26.pdf</t>
  </si>
  <si>
    <t xml:space="preserve">Q2 FY25, Q1–Q2 FY26</t>
  </si>
  <si>
    <t xml:space="preserve">LTIM margin, headcount, attrition</t>
  </si>
  <si>
    <t xml:space="preserve">Single source; replace with LTIM fact sheet</t>
  </si>
  <si>
    <t xml:space="preserve">S31</t>
  </si>
  <si>
    <t xml:space="preserve">PSU Connect</t>
  </si>
  <si>
    <t xml:space="preserve">Wipro Q2 FY27: margin improves to 16.5%</t>
  </si>
  <si>
    <t xml:space="preserve">https://www.psuconnect.in/financial/wipro-q2-fy27-it-services-flat-qoq-margin-improves-to-16-5</t>
  </si>
  <si>
    <t xml:space="preserve">Q2 FY27</t>
  </si>
  <si>
    <t xml:space="preserve">Second source for Wipro Q2 FY27 margin</t>
  </si>
  <si>
    <t xml:space="preserve">Agrees with S02</t>
  </si>
  <si>
    <t xml:space="preserve">S32</t>
  </si>
  <si>
    <t xml:space="preserve">Infosys Ltd (SEC Form 6-K) — cited in D1</t>
  </si>
  <si>
    <t xml:space="preserve">Earnings call 2020: 80 bps margin from 2.4% utilisation increase</t>
  </si>
  <si>
    <t xml:space="preserve">https://www.sec.gov/Archives/edgar/data/1067491/000106749120000072/exv99w05.htm</t>
  </si>
  <si>
    <t xml:space="preserve">2020 (quarter to confirm)</t>
  </si>
  <si>
    <t xml:space="preserve">Carried from D1; could not re-open this session (site not reachable) — re-verify quarter</t>
  </si>
  <si>
    <t xml:space="preserve">S33</t>
  </si>
  <si>
    <t xml:space="preserve">Business Standard — cited in D1</t>
  </si>
  <si>
    <t xml:space="preserve">HCLTech Q1 FY26 results; lower utilisation 80 bps</t>
  </si>
  <si>
    <t xml:space="preserve">https://www.business-standard.com/markets/news/hcltech-sees-rating-downgrade-post-q1-results-guidance-disappointment-125071501441_1.html</t>
  </si>
  <si>
    <t xml:space="preserve">Second source for HCLTech Q1 FY26 walk</t>
  </si>
  <si>
    <t xml:space="preserve">Carried from D1</t>
  </si>
  <si>
    <t xml:space="preserve">S34</t>
  </si>
  <si>
    <t xml:space="preserve">Sightsinplus — cited in D1</t>
  </si>
  <si>
    <t xml:space="preserve">Wipro revised bench policy (Oct 2026)</t>
  </si>
  <si>
    <t xml:space="preserve">https://www.sightsinplus.com/news/industry-news/wipro-gives-employees-six-months-to-find-new-projects-revised-bench-policy/</t>
  </si>
  <si>
    <t xml:space="preserve">Oct 2026</t>
  </si>
  <si>
    <t xml:space="preserve">Policy event: Wipro 180-day window</t>
  </si>
  <si>
    <t xml:space="preserve">Carried from D1; second source pending</t>
  </si>
  <si>
    <t xml:space="preserve">S35</t>
  </si>
  <si>
    <t xml:space="preserve">Outlook Business — cited in D1</t>
  </si>
  <si>
    <t xml:space="preserve">TCS caps bench time at 35 days</t>
  </si>
  <si>
    <t xml:space="preserve">https://www.outlookbusiness.com/corporate/tcs-caps-bench-time-at-35-days-under-new-deployment-policy</t>
  </si>
  <si>
    <t xml:space="preserve">Jun 2025</t>
  </si>
  <si>
    <t xml:space="preserve">Policy event: TCS 35-business-day cap</t>
  </si>
  <si>
    <t xml:space="preserve">Carried from D1; second source = S40</t>
  </si>
  <si>
    <t xml:space="preserve">S36</t>
  </si>
  <si>
    <t xml:space="preserve">TCS builds higher bench despite 2025 policy (Oct 2026)</t>
  </si>
  <si>
    <t xml:space="preserve">https://www.sightsinplus.com/news/industry-news/tcs-builds-higher-bench-increases-subcontracting-despite-2025-bench-policy/</t>
  </si>
  <si>
    <t xml:space="preserve">Counter-evidence for TCS before/after</t>
  </si>
  <si>
    <t xml:space="preserve">S37</t>
  </si>
  <si>
    <t xml:space="preserve">Webull — cited in D1</t>
  </si>
  <si>
    <t xml:space="preserve">Wipro Q1 FY27 earnings call transcript (Jul 2026)</t>
  </si>
  <si>
    <t xml:space="preserve">https://www.webull.com/news/15239831956513792</t>
  </si>
  <si>
    <t xml:space="preserve">Quoted sparingly</t>
  </si>
  <si>
    <t xml:space="preserve">Target band 17–17.5%; stated drivers</t>
  </si>
  <si>
    <t xml:space="preserve">S38</t>
  </si>
  <si>
    <t xml:space="preserve">Wipro Ltd — cited in D1</t>
  </si>
  <si>
    <t xml:space="preserve">Press release, results for quarter ended 30 Sep 2026 (15 Oct 2026)</t>
  </si>
  <si>
    <t xml:space="preserve">https://www.wipro.com/newsroom/press-releases/2026/wipro-announces-results-for-the-quarter-ended-september-30-2026/</t>
  </si>
  <si>
    <t xml:space="preserve">S39</t>
  </si>
  <si>
    <t xml:space="preserve">Storyboard18 — cited in D1</t>
  </si>
  <si>
    <t xml:space="preserve">NITES complaint on TCS bench policy (Jul 2025)</t>
  </si>
  <si>
    <t xml:space="preserve">https://www.storyboard18.com/how-it-works/tcs-under-fire-for-new-bench-policy-nites-alleges-forced-exits-salary-refund-demands-75206.htm</t>
  </si>
  <si>
    <t xml:space="preserve">Jul 2025</t>
  </si>
  <si>
    <t xml:space="preserve">Stakeholder / labour-relations context</t>
  </si>
  <si>
    <t xml:space="preserve">S40</t>
  </si>
  <si>
    <t xml:space="preserve">Sharma &amp; Pandey, Ivey case W46296 — cited in D1</t>
  </si>
  <si>
    <t xml:space="preserve">TCS's bench policy</t>
  </si>
  <si>
    <t xml:space="preserve">https://download.iese.edu/W46296_pcu-009f3e02-2200-432c-87a2-93e1ac31b4a7.pdf</t>
  </si>
  <si>
    <t xml:space="preserve">2025</t>
  </si>
  <si>
    <t xml:space="preserve">Teaching case</t>
  </si>
  <si>
    <t xml:space="preserve">Case licence; quote only</t>
  </si>
  <si>
    <t xml:space="preserve">Policy event details (225 billable days, 35-day cap)</t>
  </si>
  <si>
    <t xml:space="preserve">S41</t>
  </si>
  <si>
    <t xml:space="preserve">Wipro Ltd (Form 20-F FY2026) — cited in D1</t>
  </si>
  <si>
    <t xml:space="preserve">Annual report on Form 20-F</t>
  </si>
  <si>
    <t xml:space="preserve">https://www.sec.gov/Archives/edgar/data/0001123799/000119312526253514/wit -20260331.htm</t>
  </si>
  <si>
    <t xml:space="preserve">FY2026</t>
  </si>
  <si>
    <t xml:space="preserve">Public filing</t>
  </si>
  <si>
    <t xml:space="preserve">Cost structure (employee compensation share)</t>
  </si>
  <si>
    <t xml:space="preserve">S42</t>
  </si>
  <si>
    <t xml:space="preserve">Fact sheet Q1 FY23</t>
  </si>
  <si>
    <t xml:space="preserve">https://www.infosys.com/investors/reports-filings/quarterly-results/2022-2023/q1/documents/fact-sheet.pdf</t>
  </si>
  <si>
    <t xml:space="preserve">Q1 FY22, Q4 FY22, Q1 FY23</t>
  </si>
  <si>
    <t xml:space="preserve">S43</t>
  </si>
  <si>
    <t xml:space="preserve">Fact sheet Q4 FY23</t>
  </si>
  <si>
    <t xml:space="preserve">https://Www.infosys.com/investors/reports-filings/quarterly-results/2022-2023/q4/documents/fact-sheet.pdf</t>
  </si>
  <si>
    <t xml:space="preserve">Q4 FY22, Q3 FY23, Q4 FY23</t>
  </si>
  <si>
    <t xml:space="preserve">Q4 FY22 identical to S42</t>
  </si>
  <si>
    <t xml:space="preserve">S44</t>
  </si>
  <si>
    <t xml:space="preserve">Fact sheet Q2 FY24</t>
  </si>
  <si>
    <t xml:space="preserve">https://Www.infosys.com/investors/reports-filings/quarterly-results/2023-2024/q2/documents/fact-sheet.pdf</t>
  </si>
  <si>
    <t xml:space="preserve">Q2 FY23, Q1 FY24, Q2 FY24</t>
  </si>
  <si>
    <t xml:space="preserve">Q1–Q2 FY24 utilisation matches CFO statement (S22)</t>
  </si>
  <si>
    <t xml:space="preserve">S45</t>
  </si>
  <si>
    <t xml:space="preserve">Infosys Ltd (infosys.com and SEC Form 6-K Ex. 99.4)</t>
  </si>
  <si>
    <t xml:space="preserve">Fact sheet Q1 FY25</t>
  </si>
  <si>
    <t xml:space="preserve">https://infosys.com/investors/reports-filings/quarterly-results/2024-2025/q1/documents/fact-sheet.pdf ; https://www.sec.gov/Archives/edgar/data/1067491/000106749124000026/exv99w04.htm</t>
  </si>
  <si>
    <t xml:space="preserve">Q1 FY24, Q4 FY24, Q1 FY25</t>
  </si>
  <si>
    <t xml:space="preserve">Company disclosure + regulatory filing</t>
  </si>
  <si>
    <t xml:space="preserve">Public; academic use</t>
  </si>
  <si>
    <t xml:space="preserve">Two copies identical</t>
  </si>
  <si>
    <t xml:space="preserve">S46</t>
  </si>
  <si>
    <t xml:space="preserve">Fact sheet Q3 FY25</t>
  </si>
  <si>
    <t xml:space="preserve">https://infosys.com/investors/reports-filings/quarterly-results/2024-2025/q3/documents/fact-sheet.pdf</t>
  </si>
  <si>
    <t xml:space="preserve">Q3 FY24, Q2 FY25, Q3 FY25</t>
  </si>
  <si>
    <t xml:space="preserve">S47</t>
  </si>
  <si>
    <t xml:space="preserve">Infosys Ltd (SEC Form 6-K Ex. 99.4)</t>
  </si>
  <si>
    <t xml:space="preserve">Fact sheet Q4 FY25</t>
  </si>
  <si>
    <t xml:space="preserve">https://www.sec.gov/Archives/edgar/data/1067491/000106749125000010/exv99w04.htm</t>
  </si>
  <si>
    <t xml:space="preserve">Q4 FY24, Q3 FY25, Q4 FY25</t>
  </si>
  <si>
    <t xml:space="preserve">Q3 FY25, Q4 FY24 identical to S45/S46</t>
  </si>
  <si>
    <t xml:space="preserve">S48</t>
  </si>
  <si>
    <t xml:space="preserve">Fact sheet Q3 FY26</t>
  </si>
  <si>
    <t xml:space="preserve">https://www.infosys.com/investors/reports-filings/quarterly-results/2025-2026/q3/documents/fact-sheet.pdf</t>
  </si>
  <si>
    <t xml:space="preserve">Q3 FY25, Q2 FY26, Q3 FY26</t>
  </si>
  <si>
    <t xml:space="preserve">Q3 FY26 margin 18.4% IFRS; 21.2% excl. Labour Codes</t>
  </si>
  <si>
    <t xml:space="preserve">S49</t>
  </si>
  <si>
    <t xml:space="preserve">https://www.tcs.com/content/dam/tcs/investor-relations/financial-statements/2022-23/q4/Presentations/Q4%20FY%202022-23%20Fact%20sheet.pdf</t>
  </si>
  <si>
    <t xml:space="preserve">Q4 FY22–Q4 FY23</t>
  </si>
  <si>
    <t xml:space="preserve">TCS panel</t>
  </si>
  <si>
    <t xml:space="preserve">S50</t>
  </si>
  <si>
    <t xml:space="preserve">Fact sheet Q3 FY24</t>
  </si>
  <si>
    <t xml:space="preserve">https://tcs.com/content/dam/tcs/investor-relations/financial-statements/2023-24/q3/Presentations/Q3 2023-24 Fact Sheet.pdf</t>
  </si>
  <si>
    <t xml:space="preserve">Q3 FY23–Q3 FY24</t>
  </si>
  <si>
    <t xml:space="preserve">Q3–Q4 FY23 identical to S49</t>
  </si>
  <si>
    <t xml:space="preserve">S51</t>
  </si>
  <si>
    <t xml:space="preserve">https://www.tcs.com/content/dam/tcs/investor-relations/financial-statements/2024-25/q4/Presentations/Q4 2024-25 Fact Sheet.pdf</t>
  </si>
  <si>
    <t xml:space="preserve">S52</t>
  </si>
  <si>
    <t xml:space="preserve">Investor release Q2 FY26</t>
  </si>
  <si>
    <t xml:space="preserve">https://www.hcltech.com/sites/default/files/document/open/quarter-results/2025-10/HCLTech_Q2_FY26_Investor_Release.pdf</t>
  </si>
  <si>
    <t xml:space="preserve">Q2 FY25–Q2 FY26</t>
  </si>
  <si>
    <t xml:space="preserve">HCLTech panel</t>
  </si>
  <si>
    <t xml:space="preserve">Two margin charts differ by 0.1 pt for Mar'25 and Sep'25</t>
  </si>
  <si>
    <t xml:space="preserve">S53</t>
  </si>
  <si>
    <t xml:space="preserve">HCL Technologies (NSE filing)</t>
  </si>
  <si>
    <t xml:space="preserve">Investor release Q4 FY26 (21 Apr 2026)</t>
  </si>
  <si>
    <t xml:space="preserve">https://nsearchives.nseindia.com/corporate/HCLTECH_21042026180629_InvestorRelease.pdf</t>
  </si>
  <si>
    <t xml:space="preserve">Q4 FY25–Q4 FY26</t>
  </si>
  <si>
    <t xml:space="preserve">HCLTech panel; restructuring bps</t>
  </si>
  <si>
    <t xml:space="preserve">Gives margins incl. and excl. restructuring</t>
  </si>
  <si>
    <t xml:space="preserve">S54</t>
  </si>
  <si>
    <t xml:space="preserve">Investor release Q3 FY26 (12 Jan 2026)</t>
  </si>
  <si>
    <t xml:space="preserve">https://nsearchives.nseindia.com/corporate/HCLTECH_12012026171644_Investor_Release.pdf</t>
  </si>
  <si>
    <t xml:space="preserve">Q3 FY25–Q3 FY26</t>
  </si>
  <si>
    <t xml:space="preserve">S55</t>
  </si>
  <si>
    <t xml:space="preserve">LTIMindtree (BSE filing)</t>
  </si>
  <si>
    <t xml:space="preserve">Investor presentation Q3 FY24 (17 Jan 2024)</t>
  </si>
  <si>
    <t xml:space="preserve">https://www.bseindia.com/xml-data/corpfiling/AttachHis/579d6bcf-3032-41f4-b989-02c8d31bec47.pdf</t>
  </si>
  <si>
    <t xml:space="preserve">Q3 FY23, Q2 FY24, Q3 FY24</t>
  </si>
  <si>
    <t xml:space="preserve">LTIM panel</t>
  </si>
  <si>
    <t xml:space="preserve">S56</t>
  </si>
  <si>
    <t xml:space="preserve">Investor presentation Q4 FY24 (24 Apr 2024)</t>
  </si>
  <si>
    <t xml:space="preserve">https://www.bseindia.com/xml-data/corpfiling/AttachHis/1615a09b-d8dd-4802-9864-6d66aa0a9d99.pdf</t>
  </si>
  <si>
    <t xml:space="preserve">Q4 FY23, Q3 FY24, Q4 FY24</t>
  </si>
  <si>
    <t xml:space="preserve">Q3 FY24 identical to S55</t>
  </si>
  <si>
    <t xml:space="preserve">S57</t>
  </si>
  <si>
    <t xml:space="preserve">LTIMindtree Q1 FY26 result update</t>
  </si>
  <si>
    <t xml:space="preserve">https://www.icicidirect.com/mailcontent/idirect_ltim_q1fy26.pdf</t>
  </si>
  <si>
    <t xml:space="preserve">Q1 FY25, Q4 FY25, Q1 FY26</t>
  </si>
  <si>
    <t xml:space="preserve">LTIM margin, attrition</t>
  </si>
  <si>
    <t xml:space="preserve">Q1 FY26 14.3% agrees with S30</t>
  </si>
  <si>
    <t xml:space="preserve">S58</t>
  </si>
  <si>
    <t xml:space="preserve">LTIMindtree Q4 FY26 margin outlook</t>
  </si>
  <si>
    <t xml:space="preserve">https://www.multibagg.ai/market-pulse/articles/ltimindtree-q4fy26-margin-outlook-cmripw9xs39gcnw0j0n75669g</t>
  </si>
  <si>
    <t xml:space="preserve">Q4 FY26</t>
  </si>
  <si>
    <t xml:space="preserve">LTIM margin</t>
  </si>
  <si>
    <t xml:space="preserve">Single source</t>
  </si>
  <si>
    <t xml:space="preserve">S59</t>
  </si>
  <si>
    <t xml:space="preserve">Tech Mahindra</t>
  </si>
  <si>
    <t xml:space="preserve">https://insights.techmahindra.com/investors/tml-q4-fy-25-fact-sheet.pdf</t>
  </si>
  <si>
    <t xml:space="preserve">TechM panel</t>
  </si>
  <si>
    <t xml:space="preserve">Utilisation and attrition rounded to whole %</t>
  </si>
  <si>
    <t xml:space="preserve">S60</t>
  </si>
  <si>
    <t xml:space="preserve">Tech Mahindra (NSE filing)</t>
  </si>
  <si>
    <t xml:space="preserve">Investor presentation Q3 FY26 (16 Jan 2026)</t>
  </si>
  <si>
    <t xml:space="preserve">https://nsearchives.nseindia.com/corporate/TECHM_16012026161125_SEintimationinvestorPresentationQ3_S.pdf</t>
  </si>
  <si>
    <t xml:space="preserve">Utilisation label not qualified; mapped from chart order</t>
  </si>
  <si>
    <t xml:space="preserve">S61</t>
  </si>
  <si>
    <t xml:space="preserve">Tech Mahindra Q2 FY26 result update</t>
  </si>
  <si>
    <t xml:space="preserve">https://www.icicidirect.com/mailcontent/idirect_techm_q2fy26.pdf</t>
  </si>
  <si>
    <t xml:space="preserve">TechM margin, headcount</t>
  </si>
  <si>
    <t xml:space="preserve">Q1–Q2 FY26 margins and headcount agree with S60</t>
  </si>
  <si>
    <t xml:space="preserve">S62</t>
  </si>
  <si>
    <t xml:space="preserve">IIFL (India Infoline)</t>
  </si>
  <si>
    <t xml:space="preserve">Tech Mahindra Q1 FY27 results: EBIT margin 14.4%</t>
  </si>
  <si>
    <t xml:space="preserve">https://www.indiainfoline.com/news/companies/tech-mahindra-q1-fy27-results-profit-rises-8-2-qoq-to-1465-crore-ebit-margin-expands-to-14-4</t>
  </si>
  <si>
    <t xml:space="preserve">Second source for TechM Q1 FY27</t>
  </si>
  <si>
    <t xml:space="preserve">Agrees with S29</t>
  </si>
  <si>
    <t xml:space="preserve">S63</t>
  </si>
  <si>
    <t xml:space="preserve">Fact sheet Q1 FY26</t>
  </si>
  <si>
    <t xml:space="preserve">https://www.tcs.com/content/dam/tcs/investor-relations/financial-statements/2025-26/q1/Presentations/Q1%202025-26%20Fact%20Sheet.pdf</t>
  </si>
  <si>
    <t xml:space="preserve">Q1 FY25–Q1 FY26</t>
  </si>
  <si>
    <t xml:space="preserve">Q1–Q4 FY25 identical to S51</t>
  </si>
  <si>
    <t xml:space="preserve">S64</t>
  </si>
  <si>
    <t xml:space="preserve">https://www.tcs.com/content/dam/tcs/investor-relations/financial-statements/2026-27/q1/Presentations/Q1%202026-27%20Fact%20Sheet.pdf</t>
  </si>
  <si>
    <t xml:space="preserve">Q1 FY26–Q1 FY27</t>
  </si>
  <si>
    <t xml:space="preserve">Q1 FY26–Q1 FY27 identical to S10/S63</t>
  </si>
  <si>
    <t xml:space="preserve">S65</t>
  </si>
  <si>
    <t xml:space="preserve">Analyst datasheet Q4 FY15</t>
  </si>
  <si>
    <t xml:space="preserve">https://www.wipro.com/content/dam/nexus/en/investor/quarterly-results/2014-2015/q4/11377-Data-Sheet-Q4-FY15.pdf</t>
  </si>
  <si>
    <t xml:space="preserve">Q4 FY14–Q4 FY15</t>
  </si>
  <si>
    <t xml:space="preserve">Wipro panel FY15</t>
  </si>
  <si>
    <t xml:space="preserve">Q4 FY15 identical to S66</t>
  </si>
  <si>
    <t xml:space="preserve">S66</t>
  </si>
  <si>
    <t xml:space="preserve">Analyst datasheet Q4 FY16</t>
  </si>
  <si>
    <t xml:space="preserve">https://www.wipro.com/content/dam/nexus/en/investor/quarterly-results/2015-2016/q4/11344-Data-Sheet-Q4-FY16.pdf</t>
  </si>
  <si>
    <t xml:space="preserve">Q4 FY15–Q4 FY16</t>
  </si>
  <si>
    <t xml:space="preserve">Wipro panel FY16</t>
  </si>
  <si>
    <t xml:space="preserve">Q4 FY16 later restated in S67 (margin 19.7%, headcount 156,831)</t>
  </si>
  <si>
    <t xml:space="preserve">S67</t>
  </si>
  <si>
    <t xml:space="preserve">Analyst datasheet Q4 FY17</t>
  </si>
  <si>
    <t xml:space="preserve">https://www.wipro.com/content/dam/nexus/en/investor/quarterly-results/2016-2017/q4/11811-Data-Sheet-Q4-FY-17.pdf</t>
  </si>
  <si>
    <t xml:space="preserve">Q4 FY16–Q4 FY17</t>
  </si>
  <si>
    <t xml:space="preserve">Wipro panel FY17</t>
  </si>
  <si>
    <t xml:space="preserve">Q4 FY17 identical to S68</t>
  </si>
  <si>
    <t xml:space="preserve">S68</t>
  </si>
  <si>
    <t xml:space="preserve">Analyst datasheet Q4 FY18</t>
  </si>
  <si>
    <t xml:space="preserve">https://www.wipro.com/content/dam/nexus/en/investor/quarterly-results/2017-2018/q4fy18/wipro-data-sheet-q4-fy18.pdf</t>
  </si>
  <si>
    <t xml:space="preserve">Q4 FY17–Q4 FY18</t>
  </si>
  <si>
    <t xml:space="preserve">Wipro panel FY18</t>
  </si>
  <si>
    <t xml:space="preserve">Q4 FY18 later restated in S69 (margin 14.6%, headcount 159,923, revenue 2,019.1)</t>
  </si>
  <si>
    <t xml:space="preserve">S69</t>
  </si>
  <si>
    <t xml:space="preserve">Analyst datasheet Q4 FY19</t>
  </si>
  <si>
    <t xml:space="preserve">https://www.wipro.com/content/dam/nexus/en/investor/quarterly-results/2018-2019/q4fy19/analyst-data-sheet-q4-fy19.pdf</t>
  </si>
  <si>
    <t xml:space="preserve">Q4 FY18–Q4 FY19</t>
  </si>
  <si>
    <t xml:space="preserve">Wipro panel FY19</t>
  </si>
  <si>
    <t xml:space="preserve">Utilisation excludes acquired entities (footnote)</t>
  </si>
  <si>
    <t xml:space="preserve">S70</t>
  </si>
  <si>
    <t xml:space="preserve">Wipro Ltd (SEC Form 6-K Ex. 99.2)</t>
  </si>
  <si>
    <t xml:space="preserve">CFO presentation, quarter ended 31 Dec 2018</t>
  </si>
  <si>
    <t xml:space="preserve">https://www.sec.gov/Archives/edgar/data/1123799/000119312519014908/d686992dex992.htm</t>
  </si>
  <si>
    <t xml:space="preserve">Q3 FY19</t>
  </si>
  <si>
    <t xml:space="preserve">Confirms Q3 FY19 margin +480 bps over Q2 FY19 reported</t>
  </si>
  <si>
    <t xml:space="preserve">Q2 FY19 margin depressed by a one-off</t>
  </si>
  <si>
    <t xml:space="preserve">S71</t>
  </si>
  <si>
    <t xml:space="preserve">Fact sheet Q4 FY21</t>
  </si>
  <si>
    <t xml:space="preserve">https://Www.infosys.com/investors/reports-filings/quarterly-results/2020-2021/q4/documents/fact-sheet.pdf</t>
  </si>
  <si>
    <t xml:space="preserve">Q4 FY20, Q3 FY21, Q4 FY21</t>
  </si>
  <si>
    <t xml:space="preserve">Attrition labelled 'annualized', not LTM</t>
  </si>
  <si>
    <t xml:space="preserve">S72</t>
  </si>
  <si>
    <t xml:space="preserve">Fact sheet Q2 FY21</t>
  </si>
  <si>
    <t xml:space="preserve">https://Www.infosys.com/investors/reports-filings/quarterly-results/2020-2021/q2/documents/fact-sheet.pdf</t>
  </si>
  <si>
    <t xml:space="preserve">Q2 FY20, Q1 FY21, Q2 FY21</t>
  </si>
  <si>
    <t xml:space="preserve">Infosys panel; dates MW03</t>
  </si>
  <si>
    <t xml:space="preserve">Utilisation 81.2%→83.6% = +2.4 pts in Q2 FY21</t>
  </si>
  <si>
    <t xml:space="preserve">S73</t>
  </si>
  <si>
    <t xml:space="preserve">Fact sheet Q4 FY20</t>
  </si>
  <si>
    <t xml:space="preserve">https://Www.infosys.com/investors/reports-filings/quarterly-results/2019-2020/q4/documents/fact-sheet.pdf</t>
  </si>
  <si>
    <t xml:space="preserve">Q4 FY19, Q3 FY20, Q4 FY20</t>
  </si>
  <si>
    <t xml:space="preserve">Q4 FY20 identical to S71</t>
  </si>
  <si>
    <t xml:space="preserve">S74</t>
  </si>
  <si>
    <t xml:space="preserve">Q1 FY20 earnings call transcript</t>
  </si>
  <si>
    <t xml:space="preserve">https://www.infosys.com/investors/reports-filings/quarterly-results/2019-2020/q1/Documents/transcripts/earningscall.pdf</t>
  </si>
  <si>
    <t xml:space="preserve">Q1 FY20</t>
  </si>
  <si>
    <t xml:space="preserve">Margin walk (Tier A); Q1 FY20 margin and utilisation</t>
  </si>
  <si>
    <t xml:space="preserve">S75</t>
  </si>
  <si>
    <t xml:space="preserve">Fact sheet Q3 FY22</t>
  </si>
  <si>
    <t xml:space="preserve">https://www.infosys.com/investors/reports-filings/quarterly-results/2021-2022/q3/documents/fact-sheet.pdf</t>
  </si>
  <si>
    <t xml:space="preserve">Q3 FY21, Q2 FY22, Q3 FY22</t>
  </si>
  <si>
    <t xml:space="preserve">Q3 FY21 utilisation matches S71 and transcript S17</t>
  </si>
  <si>
    <t xml:space="preserve">S76</t>
  </si>
  <si>
    <t xml:space="preserve">Q4 FY18 earnings call transcript (infosys.com; also SEC 6-K)</t>
  </si>
  <si>
    <t xml:space="preserve">https://www.infosys.com/investors/reports-filings/quarterly-results/2017-2018/q4/documents/transcripts/earningscall.pdf ; https://www.sec.gov/Archives/edgar/data/0001067491/000106749118000014/exv99w06.htm</t>
  </si>
  <si>
    <t xml:space="preserve">Q4 FY18</t>
  </si>
  <si>
    <t xml:space="preserve">Two copies agree</t>
  </si>
  <si>
    <t xml:space="preserve">S77</t>
  </si>
  <si>
    <t xml:space="preserve">Q2 FY19 earnings call transcript (16 Oct 2018)</t>
  </si>
  <si>
    <t xml:space="preserve">https://www.sec.gov/Archives/edgar/data/0001067491/000106749118000046/exv99w06.htm</t>
  </si>
  <si>
    <t xml:space="preserve">Q2 FY19</t>
  </si>
  <si>
    <t xml:space="preserve">Margin walk (Tier A, year-on-year)</t>
  </si>
  <si>
    <t xml:space="preserve">S78</t>
  </si>
  <si>
    <t xml:space="preserve">Q3 FY19 earnings call transcript (11 Jan 2019)</t>
  </si>
  <si>
    <t xml:space="preserve">https://www.sec.gov/Archives/edgar/data/1067491/000106749119000004/exv99w05.htm</t>
  </si>
  <si>
    <t xml:space="preserve">S79</t>
  </si>
  <si>
    <t xml:space="preserve">Bullfincher (transcript host)</t>
  </si>
  <si>
    <t xml:space="preserve">Infosys Q2 FY20 earnings call</t>
  </si>
  <si>
    <t xml:space="preserve">https://bullfincher.io/companies/infosys-limited/earnings-call/fy2020-q2</t>
  </si>
  <si>
    <t xml:space="preserve">Q2 FY20</t>
  </si>
  <si>
    <t xml:space="preserve">Source shows '110% basis points' (typo for 110 bps)</t>
  </si>
  <si>
    <t xml:space="preserve">S80</t>
  </si>
  <si>
    <t xml:space="preserve">Q3 FY19 earnings call transcript</t>
  </si>
  <si>
    <t xml:space="preserve">https://insights.techmahindra.com/investors/Earnings-Call-Transcript-Q3-FY19.pdf</t>
  </si>
  <si>
    <t xml:space="preserve">S81</t>
  </si>
  <si>
    <t xml:space="preserve">Q4 FY19 earnings call transcript</t>
  </si>
  <si>
    <t xml:space="preserve">https://insights.techmahindra.com/investors/Earnings-Call-Transcript-Q4-FY19.pdf</t>
  </si>
  <si>
    <t xml:space="preserve">Q4 FY19</t>
  </si>
  <si>
    <t xml:space="preserve">Context: utilisation 'down to 82%'</t>
  </si>
  <si>
    <t xml:space="preserve">S82</t>
  </si>
  <si>
    <t xml:space="preserve">Q2 FY20 earnings call transcript</t>
  </si>
  <si>
    <t xml:space="preserve">https://insights.techmahindra.com/investors/Q2-FY20-call-transcript.pdf</t>
  </si>
  <si>
    <t xml:space="preserve">Searched; no utilisation bps</t>
  </si>
  <si>
    <t xml:space="preserve">S83</t>
  </si>
  <si>
    <t xml:space="preserve">Q3 FY16 earnings call transcript</t>
  </si>
  <si>
    <t xml:space="preserve">https://insights.techmahindra.com/investors/Earnings-CallTranscripts-Q3FY16.pdf</t>
  </si>
  <si>
    <t xml:space="preserve">Q3 FY16</t>
  </si>
  <si>
    <t xml:space="preserve">S84</t>
  </si>
  <si>
    <t xml:space="preserve">Q2 FY26 earnings call transcript (9 Oct 2025)</t>
  </si>
  <si>
    <t xml:space="preserve">https://www.tcs.com/content/dam/tcs/investor-relations/financial-statements/2025-26/q2/Management%20Commentary/Transcript%20of%20the%20Q2%202025-26%20Earnings%20Conference%20Call%20held%20at%201900%20hrs%20IST%20on%20October%209,%202025.pdf</t>
  </si>
  <si>
    <t xml:space="preserve">Q2 FY26</t>
  </si>
  <si>
    <t xml:space="preserve">Transcript (company, edited)</t>
  </si>
  <si>
    <t xml:space="preserve">TCS commentary; margin walk (Tier C); wage-hike timing</t>
  </si>
  <si>
    <t xml:space="preserve">S85</t>
  </si>
  <si>
    <t xml:space="preserve">Q1 FY27 earnings call transcript (9 Jul 2026)</t>
  </si>
  <si>
    <t xml:space="preserve">https://www.tcs.com/content/dam/tcs/investor-relations/financial-statements/2026-27/q1/Management%20Commentary/Transcript%20of%20the%20Q1%202026-27%20Earnings%20Conference%20Call%20held%20on%20Jul%209,%202026.pdf</t>
  </si>
  <si>
    <t xml:space="preserve">TCS commentary; wage impact 170 bps</t>
  </si>
  <si>
    <t xml:space="preserve">S86</t>
  </si>
  <si>
    <t xml:space="preserve">Tata Consultancy Services (NSE filing)</t>
  </si>
  <si>
    <t xml:space="preserve">Q2 FY27 earnings call transcript (8 Oct 2026)</t>
  </si>
  <si>
    <t xml:space="preserve">https://nsearchives.nseindia.com/corporate/TCS_CORPCS_14102026155941_SEInt14102026_signed.pdf</t>
  </si>
  <si>
    <t xml:space="preserve">TCS commentary: higher bench, more subcontractors</t>
  </si>
  <si>
    <t xml:space="preserve">Primary source for the D1 counter-evidence (S36)</t>
  </si>
  <si>
    <t xml:space="preserve">S87</t>
  </si>
  <si>
    <t xml:space="preserve">PL Capital (Prabhudas Lilladher)</t>
  </si>
  <si>
    <t xml:space="preserve">Tech Mahindra Q1 FY27 update (17 Jul 2026)</t>
  </si>
  <si>
    <t xml:space="preserve">https://plindia.com/ResReport/TECHM-17-7-26-PL.pdf</t>
  </si>
  <si>
    <t xml:space="preserve">Q1 FY25–Q1 FY27</t>
  </si>
  <si>
    <t xml:space="preserve">TechM margin, utilisation excl. trainees, headcount, attrition</t>
  </si>
  <si>
    <t xml:space="preserve">Matches company presentation S60 on every overlapping quarter</t>
  </si>
  <si>
    <t xml:space="preserve">S88</t>
  </si>
  <si>
    <t xml:space="preserve">LTIMindtree Q2 FY26 result review (17 Oct 2025)</t>
  </si>
  <si>
    <t xml:space="preserve">https://www.barodaetrade.com/Reports/LTIMindtree-Q2FY26ResultReview17Oct25-Research.pdf</t>
  </si>
  <si>
    <t xml:space="preserve">Q2 FY23–Q2 FY26</t>
  </si>
  <si>
    <t xml:space="preserve">LTIM margin, utilisation, headcount, attrition</t>
  </si>
  <si>
    <t xml:space="preserve">Utilisation row labelled 'including trainees' but values equal company 'excl. trainees' figures (S55, S56) and text says excl.; treated as excl.</t>
  </si>
  <si>
    <t xml:space="preserve">S89</t>
  </si>
  <si>
    <t xml:space="preserve">Sahi (news)</t>
  </si>
  <si>
    <t xml:space="preserve">LTIMindtree Q1 FY27 results (13 Jul 2026)</t>
  </si>
  <si>
    <t xml:space="preserve">https://www.sahi.com/news/ltimindtree-q1-profit-rises-5-5-to-1-466-crore-as-margins-expand-to-15-5-3147-PE1_COR</t>
  </si>
  <si>
    <t xml:space="preserve">Q4 FY26–Q1 FY27</t>
  </si>
  <si>
    <t xml:space="preserve">Q4 FY26 15.14% conflicts with S58 (15.5%)</t>
  </si>
  <si>
    <t xml:space="preserve">S90</t>
  </si>
  <si>
    <t xml:space="preserve">CompoundingAI (news)</t>
  </si>
  <si>
    <t xml:space="preserve">LTIMindtree Q1 FY27 results analysis</t>
  </si>
  <si>
    <t xml:space="preserve">https://compoundingai.in/market-news/ltim-q1-fy27-results-analysis</t>
  </si>
  <si>
    <t xml:space="preserve">LTIM margin and attrition</t>
  </si>
  <si>
    <t xml:space="preserve">Agrees with S89</t>
  </si>
  <si>
    <t xml:space="preserve">S91</t>
  </si>
  <si>
    <t xml:space="preserve">Board of Governors of the Federal Reserve System, via FRED (St. Louis Fed)</t>
  </si>
  <si>
    <t xml:space="preserve">Indian Rupees to U.S. Dollar Spot Exchange Rate (EXINUS), monthly, Release G.5</t>
  </si>
  <si>
    <t xml:space="preserve">https://fred.stlouisfed.org/data/EXINUS</t>
  </si>
  <si>
    <t xml:space="preserve">Jan 2014–Sep 2026</t>
  </si>
  <si>
    <t xml:space="preserve">Official statistics</t>
  </si>
  <si>
    <t xml:space="preserve">Public domain (US government data)</t>
  </si>
  <si>
    <t xml:space="preserve">USD/INR control variable</t>
  </si>
  <si>
    <t xml:space="preserve">Monthly averages of daily noon buying rates in New York; Sep 2026 preliminary</t>
  </si>
  <si>
    <t xml:space="preserve">S92</t>
  </si>
  <si>
    <t xml:space="preserve">HR Katha</t>
  </si>
  <si>
    <t xml:space="preserve">Wipro to roll out salary hikes in September 2024 (18 Sep 2024)</t>
  </si>
  <si>
    <t xml:space="preserve">https://www.hrkatha.com/news/compensation-benefits/wipro-to-roll-out-salary-hikes-in-september-2024/</t>
  </si>
  <si>
    <t xml:space="preserve">FY25</t>
  </si>
  <si>
    <t xml:space="preserve">Wage-hike timing</t>
  </si>
  <si>
    <t xml:space="preserve">S93</t>
  </si>
  <si>
    <t xml:space="preserve">Trak.in</t>
  </si>
  <si>
    <t xml:space="preserve">Wipro salary hike from December 1, 2023 (13 Oct 2023)</t>
  </si>
  <si>
    <t xml:space="preserve">https://trak.in/stories/wipro-will-roll-out-salary-hike-for-eligible-employees-from-december-1st-salary-hike-was-due-in-september-2023/</t>
  </si>
  <si>
    <t xml:space="preserve">FY24</t>
  </si>
  <si>
    <t xml:space="preserve">S94</t>
  </si>
  <si>
    <t xml:space="preserve">Wipro: first salary hike in 18 months from March 1 (13 Feb 2026)</t>
  </si>
  <si>
    <t xml:space="preserve">https://www.outlookbusiness.com/corporate/wipro-employees-to-get-first-salary-hike-in-18-months-from-march-1</t>
  </si>
  <si>
    <t xml:space="preserve">FY26</t>
  </si>
  <si>
    <t xml:space="preserve">Wage-hike timing; confirms no hike between Sep 2024 and Mar 2026</t>
  </si>
  <si>
    <t xml:space="preserve">S95</t>
  </si>
  <si>
    <t xml:space="preserve">People Matters</t>
  </si>
  <si>
    <t xml:space="preserve">Wipro postpones salary hikes (Jul 2023), quoting CFO Jatin Dalal</t>
  </si>
  <si>
    <t xml:space="preserve">https://www.peoplematters.in/news/compensation-benefits/wipro-postpones-salary-hikes-implements-80-variable-pay-for-q1fy24-38438</t>
  </si>
  <si>
    <t xml:space="preserve">FY23</t>
  </si>
  <si>
    <t xml:space="preserve">News quoting CFO</t>
  </si>
  <si>
    <t xml:space="preserve">Wage-hike timing: 'last salary increase in September of last year' (Sep 2022)</t>
  </si>
  <si>
    <t xml:space="preserve">S96</t>
  </si>
  <si>
    <t xml:space="preserve">The News Minute</t>
  </si>
  <si>
    <t xml:space="preserve">Wipro announces pay hike for 80% of workforce, second this year (18 Jun 2021)</t>
  </si>
  <si>
    <t xml:space="preserve">https://www.thenewsminute.com/atom/wipro-announces-pay-hike-80-workforce-second-hike-year-150913</t>
  </si>
  <si>
    <t xml:space="preserve">FY21–FY22</t>
  </si>
  <si>
    <t xml:space="preserve">News quoting company statement</t>
  </si>
  <si>
    <t xml:space="preserve">Wage-hike timing: Jan 2021, Jun 2021 (managers+), Sep 2021</t>
  </si>
  <si>
    <t xml:space="preserve">S97</t>
  </si>
  <si>
    <t xml:space="preserve">TCS rolls out pay hikes for 80% of employees after five-month delay (2 Sep 2025)</t>
  </si>
  <si>
    <t xml:space="preserve">https://www.peoplematters.in/news/compensation-benefits/tcs-rolls-out-pay-hikes-for-80percent-of-employees-after-five-month-delay-43253</t>
  </si>
  <si>
    <t xml:space="preserve">Wage-hike timing; usual cycle April</t>
  </si>
  <si>
    <t xml:space="preserve">CFO confirms on S84</t>
  </si>
  <si>
    <t xml:space="preserve">S98</t>
  </si>
  <si>
    <t xml:space="preserve">Angel One</t>
  </si>
  <si>
    <t xml:space="preserve">TCS annual salary hike effective April 1, 2026 (10 Apr 2026)</t>
  </si>
  <si>
    <t xml:space="preserve">https://oga-prod.angelone.in/news/stocks/tcs-to-roll-out-annual-salary-hike-across-employees-effective-april-1-2026</t>
  </si>
  <si>
    <t xml:space="preserve">FY27</t>
  </si>
  <si>
    <t xml:space="preserve">CFO confirms 170 bps impact on S85</t>
  </si>
  <si>
    <t xml:space="preserve">S99</t>
  </si>
  <si>
    <t xml:space="preserve">TCS salary hike effective April 1, 2024 (19 Mar 2024)</t>
  </si>
  <si>
    <t xml:space="preserve">https://www.peoplematters.in/news/compensation-benefits/tcs-salary-hike-onsite-and-offsite-workers-to-see-large-raise-disparity-40650</t>
  </si>
  <si>
    <t xml:space="preserve">S100</t>
  </si>
  <si>
    <t xml:space="preserve">TCS resumes April salary hikes (9 Apr 2026)</t>
  </si>
  <si>
    <t xml:space="preserve">https://www.peoplematters.in/news/compensation-benefits/tcs-resumes-april-salary-hikes-after-delay-with-double-digit-raises-for-top-performers-49180</t>
  </si>
  <si>
    <t xml:space="preserve">FY26–FY27</t>
  </si>
  <si>
    <t xml:space="preserve">Second source for TCS Sep 2025 and Apr 2026 hikes</t>
  </si>
  <si>
    <t xml:space="preserve">S101</t>
  </si>
  <si>
    <t xml:space="preserve">Business Today</t>
  </si>
  <si>
    <t xml:space="preserve">Infosys to roll out salary hikes in three phases from October (23 Jul 2026)</t>
  </si>
  <si>
    <t xml:space="preserve">https://www.businesstoday.in/latest/corporate/story/infosys-to-roll-out-salary-hikes-in-three-phases-from-october-senior-employees-to-get-increments-in-january-544896-2026-07-23</t>
  </si>
  <si>
    <t xml:space="preserve">News quoting CEO</t>
  </si>
  <si>
    <t xml:space="preserve">Wage-hike timing (after panel end)</t>
  </si>
  <si>
    <t xml:space="preserve">S102</t>
  </si>
  <si>
    <t xml:space="preserve">Infosys CFO: second pay hike done (23 Jul 2025)</t>
  </si>
  <si>
    <t xml:space="preserve">https://www.businesstoday.in/amp/latest/corporate/story/infosys-salary-hike-second-pay-hike-done-but-next-one-says-it-major-cfo-485993-2025-07-23</t>
  </si>
  <si>
    <t xml:space="preserve">FY25–FY26</t>
  </si>
  <si>
    <t xml:space="preserve">Wage-hike timing: Jan 2025 and 1 Apr 2025</t>
  </si>
  <si>
    <t xml:space="preserve">Consistent with Q1 FY26 walk (S20: compensation −100 bps)</t>
  </si>
  <si>
    <t xml:space="preserve">S103</t>
  </si>
  <si>
    <t xml:space="preserve">HRD (hcamag.com)</t>
  </si>
  <si>
    <t xml:space="preserve">Infosys delaying annual salary hikes to 4th quarter (7 Jan 2025)</t>
  </si>
  <si>
    <t xml:space="preserve">https://www.hcamag.com/au/specialisation/benefits/infosys-delaying-annual-salary-hikes-to-4th-quarter-reports/519471</t>
  </si>
  <si>
    <t xml:space="preserve">FY24–FY25</t>
  </si>
  <si>
    <t xml:space="preserve">Wage-hike timing: last hike Nov 2023</t>
  </si>
  <si>
    <t xml:space="preserve">S104</t>
  </si>
  <si>
    <t xml:space="preserve">Infosys announces salary hikes effective January 1, 2021 (14 Oct 2020)</t>
  </si>
  <si>
    <t xml:space="preserve">https://www.thenewsminute.com/article/infosys-announces-salary-hikes-100-variable-pay-and-special-incentive-employees-135334</t>
  </si>
  <si>
    <t xml:space="preserve">FY21</t>
  </si>
  <si>
    <t xml:space="preserve">News quoting COO</t>
  </si>
  <si>
    <t xml:space="preserve">S105</t>
  </si>
  <si>
    <t xml:space="preserve">Q1 FY26 earnings call transcript (10 Jul 2025)</t>
  </si>
  <si>
    <t xml:space="preserve">https://www.tcs.com/content/dam/tcs/investor-relations/financial-statements/2025-26/q1/Management%20Commentary/Transcript%20of%20the%20Q1%202025-26%20Earnings%20Conference%20Call%20held%20at%201900%20hrs%20IST%20on%20Jul%2010,%202025.pdf</t>
  </si>
  <si>
    <t xml:space="preserve">TCS commentary: utilisation fell in the policy quarter</t>
  </si>
  <si>
    <t xml:space="preserve">S106</t>
  </si>
  <si>
    <t xml:space="preserve">Q3 FY26 earnings call transcript (12 Jan 2026)</t>
  </si>
  <si>
    <t xml:space="preserve">https://www.tcs.com/content/dam/tcs/investor-relations/financial-statements/2025-26/q3/Management%20Commentary/Transcript%20of%20the%20Q3%202025-26%20Earnings%20Conference%20Call%20held%20on%20Jan%2012,%202026.pdf</t>
  </si>
  <si>
    <t xml:space="preserve">Q3 FY26</t>
  </si>
  <si>
    <t xml:space="preserve">TCS commentary; margin walk</t>
  </si>
  <si>
    <t xml:space="preserve">S107</t>
  </si>
  <si>
    <t xml:space="preserve">Q4 FY26 earnings call transcript (9 Apr 2026)</t>
  </si>
  <si>
    <t xml:space="preserve">https://nsearchives.nseindia.com/corporate/TCS_CORPCS_14042026200132_SEInt14042026_signed.pdf</t>
  </si>
  <si>
    <t xml:space="preserve">TCS commentary; margin walk; FY27 wage impact guidance 150–200 bps</t>
  </si>
  <si>
    <t xml:space="preserve">S108</t>
  </si>
  <si>
    <t xml:space="preserve">Fact sheet Q4 FY22</t>
  </si>
  <si>
    <t xml:space="preserve">https://www.tcs.com/content/dam/tcs/investor-relations/financial-statements/2021-22/q4/Presentations/Q4%202021-22%20Fact%20Sheet.pdf</t>
  </si>
  <si>
    <t xml:space="preserve">Q4 FY22</t>
  </si>
  <si>
    <t xml:space="preserve">TCS attrition</t>
  </si>
  <si>
    <t xml:space="preserve">'LTM attrition at 17.4% in IT Services'</t>
  </si>
  <si>
    <t xml:space="preserve">S109</t>
  </si>
  <si>
    <t xml:space="preserve">https://www.tcs.com/content/dam/tcs/investor-relations/financial-statements/2022-23/q1/Presentations/Q1%20FY%202022-23%20Fact%20sheet.pdf</t>
  </si>
  <si>
    <t xml:space="preserve">S110</t>
  </si>
  <si>
    <t xml:space="preserve">Business Standard</t>
  </si>
  <si>
    <t xml:space="preserve">TCS Q2 FY23 results (10 Oct 2022)</t>
  </si>
  <si>
    <t xml:space="preserve">https://www.business-standard.com/amp/article/companies/tcs-q2-fy23-results-beat-street-estimates-net-profit-rises-8-3-122101000867_1.html</t>
  </si>
  <si>
    <t xml:space="preserve">Q2 FY23</t>
  </si>
  <si>
    <t xml:space="preserve">Consistent with Q3 FY23 call: 21.3% 'slightly down quarter-on-quarter'</t>
  </si>
  <si>
    <t xml:space="preserve">S111</t>
  </si>
  <si>
    <t xml:space="preserve">Q3 FY23 earnings call transcript (Jan 2023)</t>
  </si>
  <si>
    <t xml:space="preserve">https://nsearchives.nseindia.com/corporate/TCS_11012023214641_SEinttranscript11012023Signed.pdf</t>
  </si>
  <si>
    <t xml:space="preserve">S112</t>
  </si>
  <si>
    <t xml:space="preserve">Q1 FY24 earnings call transcript (12 Jul 2023)</t>
  </si>
  <si>
    <t xml:space="preserve">https://www.tcs.com/content/dam/tcs/investor-relations/financial-statements/2023-24/q1/Management Commentary/Transcript of the Q1 2023-24 Earnings Conference Call held on July 12, 2023.pdf</t>
  </si>
  <si>
    <t xml:space="preserve">Q1 FY24</t>
  </si>
  <si>
    <t xml:space="preserve">'17.8%, down 2.3% sequentially' — consistent with Q4 FY23 20.1%</t>
  </si>
  <si>
    <t xml:space="preserve">S113</t>
  </si>
  <si>
    <t xml:space="preserve">https://tcs.com/content/dam/tcs/investor-relations/financial-statements/2023-24/q2/Presentations/Q2 2023-24 Fact Sheet.pdf</t>
  </si>
  <si>
    <t xml:space="preserve">S114</t>
  </si>
  <si>
    <t xml:space="preserve">Fact sheet Q4 FY24</t>
  </si>
  <si>
    <t xml:space="preserve">https://www.tcs.com/content/dam/tcs/investor-relations/financial-statements/2023-24/q4/Presentations/Q4 2023-24 Fact Sheet.pdf</t>
  </si>
  <si>
    <t xml:space="preserve">Q4 FY24</t>
  </si>
  <si>
    <t xml:space="preserve">S115</t>
  </si>
  <si>
    <t xml:space="preserve">https://www.tcs.com/content/dam/tcs/investor-relations/financial-statements/2024-25/q1/Presentations/Q1 2024-25 Fact Sheet.pdf</t>
  </si>
  <si>
    <t xml:space="preserve">Q1 FY25</t>
  </si>
  <si>
    <t xml:space="preserve">S116</t>
  </si>
  <si>
    <t xml:space="preserve">Fact sheet Q2 FY25</t>
  </si>
  <si>
    <t xml:space="preserve">https://www.tcs.com/content/dam/tcs/investor-relations/financial-statements/2024-25/q2/Presentations/Q2%202024-25%20Fact%20Sheet.pdf</t>
  </si>
  <si>
    <t xml:space="preserve">S117</t>
  </si>
  <si>
    <t xml:space="preserve">https://www.tcs.com/content/dam/tcs/investor-relations/financial-statements/2024-25/q3/Presentations/Q3%202024-25%20Fact%20Sheet.pdf</t>
  </si>
  <si>
    <t xml:space="preserve">S118</t>
  </si>
  <si>
    <t xml:space="preserve">https://www.tcs.com/content/dam/tcs/investor-relations/financial-statements/2025-26/q2/Presentations/Q2%202025-26%20Fact%20Sheet.pdf</t>
  </si>
  <si>
    <t xml:space="preserve">'Voluntary LTM attrition' from this quarter</t>
  </si>
  <si>
    <t xml:space="preserve">S119</t>
  </si>
  <si>
    <t xml:space="preserve">https://www.tcs.com/content/dam/tcs/investor-relations/financial-statements/2025-26/q3/Presentations/Q3%202025-26%20Fact%20Sheet.pdf</t>
  </si>
  <si>
    <t xml:space="preserve">S120</t>
  </si>
  <si>
    <t xml:space="preserve">Fact sheet Q4 FY26</t>
  </si>
  <si>
    <t xml:space="preserve">https://www.tcs.com/content/dam/tcs/investor-relations/financial-statements/2025-26/q4/Presentations/Q4%202025-26%20Fact%20Sheet.pdf</t>
  </si>
  <si>
    <t xml:space="preserve">canonical_variable</t>
  </si>
  <si>
    <t xml:space="preserve">definition</t>
  </si>
  <si>
    <t xml:space="preserve">unit</t>
  </si>
  <si>
    <t xml:space="preserve">Wipro label</t>
  </si>
  <si>
    <t xml:space="preserve">Infosys label</t>
  </si>
  <si>
    <t xml:space="preserve">TCS label</t>
  </si>
  <si>
    <t xml:space="preserve">HCLTech label</t>
  </si>
  <si>
    <t xml:space="preserve">LTIMindtree label</t>
  </si>
  <si>
    <t xml:space="preserve">Tech Mahindra label</t>
  </si>
  <si>
    <t xml:space="preserve">Bloomberg mnemonic</t>
  </si>
  <si>
    <t xml:space="preserve">harmonisation rule / caveat</t>
  </si>
  <si>
    <t xml:space="preserve">op_margin_pct</t>
  </si>
  <si>
    <t xml:space="preserve">Operating (EBIT) margin, % of revenue, as reported for the quarter</t>
  </si>
  <si>
    <t xml:space="preserve">%</t>
  </si>
  <si>
    <t xml:space="preserve">IT Services segment operating margin (datasheet 'Operating Margin %')</t>
  </si>
  <si>
    <t xml:space="preserve">Company operating margin (fact sheet)</t>
  </si>
  <si>
    <t xml:space="preserve">Company operating margin excl. exceptional items</t>
  </si>
  <si>
    <t xml:space="preserve">Company EBIT incl. restructuring; IT&amp;BS segment EBIT in notes</t>
  </si>
  <si>
    <t xml:space="preserve">Company EBIT margin</t>
  </si>
  <si>
    <t xml:space="preserve">CB_IS_ADJ_OPERATING_MARGIN (adjusted, company level) / CB_IS_OPERATING_MARGIN</t>
  </si>
  <si>
    <t xml:space="preserve">Not like-for-like: Wipro is a segment margin. Compare changes (bps QoQ), not levels, across firms. Record basis in margin_basis.</t>
  </si>
  <si>
    <t xml:space="preserve">util_excl_trainees_pct</t>
  </si>
  <si>
    <t xml:space="preserve">Billable effort / total effort of delivery staff excluding trainees</t>
  </si>
  <si>
    <t xml:space="preserve">'Net Utilization (Excluding Trainees)'</t>
  </si>
  <si>
    <t xml:space="preserve">'Utilization – excluding trainees'</t>
  </si>
  <si>
    <t xml:space="preserve">Not disclosed</t>
  </si>
  <si>
    <t xml:space="preserve">Not disclosed (dropped from releases)</t>
  </si>
  <si>
    <t xml:space="preserve">Reported in fact sheet (collect)</t>
  </si>
  <si>
    <t xml:space="preserve">Reported incl. trainees in notes; confirm</t>
  </si>
  <si>
    <t xml:space="preserve">UTILIZATION_RATE (definition varies by firm — check field notes on terminal)</t>
  </si>
  <si>
    <t xml:space="preserve">Primary capacity variable. Do not mix with incl-trainee series.</t>
  </si>
  <si>
    <t xml:space="preserve">util_gross_or_incl_trainees_pct</t>
  </si>
  <si>
    <t xml:space="preserve">Utilisation including trainees (Infosys) / gross utilisation (Wipro, to FY22)</t>
  </si>
  <si>
    <t xml:space="preserve">'Gross Utilization' (FY20–FY22 only)</t>
  </si>
  <si>
    <t xml:space="preserve">'Utilization – including trainees'</t>
  </si>
  <si>
    <t xml:space="preserve">Check fact sheet</t>
  </si>
  <si>
    <t xml:space="preserve">'Utilisation' (incl. trainees)</t>
  </si>
  <si>
    <t xml:space="preserve">—</t>
  </si>
  <si>
    <t xml:space="preserve">Secondary series; used only for robustness checks.</t>
  </si>
  <si>
    <t xml:space="preserve">headcount</t>
  </si>
  <si>
    <t xml:space="preserve">Closing total employees at quarter end</t>
  </si>
  <si>
    <t xml:space="preserve">persons</t>
  </si>
  <si>
    <t xml:space="preserve">'Closing Employee Count'</t>
  </si>
  <si>
    <t xml:space="preserve">'Total employees'</t>
  </si>
  <si>
    <t xml:space="preserve">'Total Employee Base'</t>
  </si>
  <si>
    <t xml:space="preserve">'Total headcount'</t>
  </si>
  <si>
    <t xml:space="preserve">Total headcount</t>
  </si>
  <si>
    <t xml:space="preserve">NUM_OF_EMPLOYEES</t>
  </si>
  <si>
    <t xml:space="preserve">Includes BPO/BPS staff where firm does.</t>
  </si>
  <si>
    <t xml:space="preserve">vol_attrition_ttm_pct</t>
  </si>
  <si>
    <t xml:space="preserve">Voluntary attrition, trailing twelve months, IT services</t>
  </si>
  <si>
    <t xml:space="preserve">'Voluntary TTM (IT Services excl. DOP/BPS)'</t>
  </si>
  <si>
    <t xml:space="preserve">'Voluntary attrition % (LTM, IT Services)'</t>
  </si>
  <si>
    <t xml:space="preserve">'Attrition (LTM, IT Services)'</t>
  </si>
  <si>
    <t xml:space="preserve">Attrition LTM excl. involuntary &amp; DPO</t>
  </si>
  <si>
    <t xml:space="preserve">Attrition LTM</t>
  </si>
  <si>
    <t xml:space="preserve">IT attrition LTM</t>
  </si>
  <si>
    <t xml:space="preserve">ATTRITION_RATE</t>
  </si>
  <si>
    <t xml:space="preserve">Definitions close; minor scope differences noted.</t>
  </si>
  <si>
    <t xml:space="preserve">it_rev_usd_mn</t>
  </si>
  <si>
    <t xml:space="preserve">IT services revenue in USD million</t>
  </si>
  <si>
    <t xml:space="preserve">USD mn</t>
  </si>
  <si>
    <t xml:space="preserve">'IT Services Revenues ($Mn)'</t>
  </si>
  <si>
    <t xml:space="preserve">Revenue US$ mn (company)</t>
  </si>
  <si>
    <t xml:space="preserve">Revenue US$ mn</t>
  </si>
  <si>
    <t xml:space="preserve">SALES_REV_TURN (segment SEG0000403243 for Wipro IT Services)</t>
  </si>
  <si>
    <t xml:space="preserve">Wipro only collected in v1.0.</t>
  </si>
  <si>
    <t xml:space="preserve">cc_qoq_pct</t>
  </si>
  <si>
    <t xml:space="preserve">Sequential revenue growth in constant currency</t>
  </si>
  <si>
    <t xml:space="preserve">'Sequential Growth in Constant Currency'</t>
  </si>
  <si>
    <t xml:space="preserve">QoQ CC</t>
  </si>
  <si>
    <t xml:space="preserve">'Q-o-Q Growth CC'</t>
  </si>
  <si>
    <t xml:space="preserve">Constant Currency Revenue Growth (%) in KPIC</t>
  </si>
  <si>
    <t xml:space="preserve">Control variable for D4 regression.</t>
  </si>
  <si>
    <t xml:space="preserve">util_bps</t>
  </si>
  <si>
    <t xml:space="preserve">Margin change attributed by management to utilisation, bps</t>
  </si>
  <si>
    <t xml:space="preserve">bps</t>
  </si>
  <si>
    <t xml:space="preserve">Earnings call</t>
  </si>
  <si>
    <t xml:space="preserve">Earnings call / broker note</t>
  </si>
  <si>
    <t xml:space="preserve">Tier A = utilisation isolated; B = bundled with other levers; C = named only.</t>
  </si>
  <si>
    <t xml:space="preserve">fiscal_quarter</t>
  </si>
  <si>
    <t xml:space="preserve">Indian fiscal quarter label</t>
  </si>
  <si>
    <t xml:space="preserve">text</t>
  </si>
  <si>
    <t xml:space="preserve">Q1 = Apr–Jun</t>
  </si>
  <si>
    <t xml:space="preserve">same</t>
  </si>
  <si>
    <t xml:space="preserve">FPR 'YYYY Qn' with FYE='C' is calendar: CY2026 Q3 = Q2 FY27</t>
  </si>
  <si>
    <t xml:space="preserve">Mapping implemented in ingest_bloomberg.calendar_to_wipro_fq()</t>
  </si>
  <si>
    <t xml:space="preserve">firm</t>
  </si>
  <si>
    <t xml:space="preserve">quarter_end</t>
  </si>
  <si>
    <t xml:space="preserve">margin_basis</t>
  </si>
  <si>
    <t xml:space="preserve">note</t>
  </si>
  <si>
    <t xml:space="preserve">qoq_margin_bps</t>
  </si>
  <si>
    <t xml:space="preserve">qoq_util_pts</t>
  </si>
  <si>
    <t xml:space="preserve">wage_hike_qtr</t>
  </si>
  <si>
    <t xml:space="preserve">usd_inr_qavg</t>
  </si>
  <si>
    <t xml:space="preserve">one_off_flag</t>
  </si>
  <si>
    <t xml:space="preserve">Wipro</t>
  </si>
  <si>
    <t xml:space="preserve">Q1 FY15</t>
  </si>
  <si>
    <t xml:space="preserve">2014-06-30</t>
  </si>
  <si>
    <t xml:space="preserve">IT Services segment operating margin</t>
  </si>
  <si>
    <t xml:space="preserve">Company datasheet</t>
  </si>
  <si>
    <t xml:space="preserve">Headcount = IT Services</t>
  </si>
  <si>
    <t xml:space="preserve">Q2 FY15</t>
  </si>
  <si>
    <t xml:space="preserve">2014-09-30</t>
  </si>
  <si>
    <t xml:space="preserve">Q3 FY15</t>
  </si>
  <si>
    <t xml:space="preserve">2014-12-31</t>
  </si>
  <si>
    <t xml:space="preserve">Q4 FY15</t>
  </si>
  <si>
    <t xml:space="preserve">2015-03-31</t>
  </si>
  <si>
    <t xml:space="preserve">S65;S66</t>
  </si>
  <si>
    <t xml:space="preserve">Headcount = IT Services; identical in two sheets</t>
  </si>
  <si>
    <t xml:space="preserve">Q1 FY16</t>
  </si>
  <si>
    <t xml:space="preserve">2015-06-30</t>
  </si>
  <si>
    <t xml:space="preserve">Q2 FY16</t>
  </si>
  <si>
    <t xml:space="preserve">2015-09-30</t>
  </si>
  <si>
    <t xml:space="preserve">2015-12-31</t>
  </si>
  <si>
    <t xml:space="preserve">Q4 FY16</t>
  </si>
  <si>
    <t xml:space="preserve">2016-03-31</t>
  </si>
  <si>
    <t xml:space="preserve">As originally reported; restated in S67 to margin 19.7%, headcount 156,831 (definition change)</t>
  </si>
  <si>
    <t xml:space="preserve">Q1 FY17</t>
  </si>
  <si>
    <t xml:space="preserve">2016-06-30</t>
  </si>
  <si>
    <t xml:space="preserve">Headcount basis restated from FY17 (break vs FY16)</t>
  </si>
  <si>
    <t xml:space="preserve">Q2 FY17</t>
  </si>
  <si>
    <t xml:space="preserve">2016-09-30</t>
  </si>
  <si>
    <t xml:space="preserve">Q3 FY17</t>
  </si>
  <si>
    <t xml:space="preserve">2016-12-31</t>
  </si>
  <si>
    <t xml:space="preserve">Q4 FY17</t>
  </si>
  <si>
    <t xml:space="preserve">2017-03-31</t>
  </si>
  <si>
    <t xml:space="preserve">S67;S68</t>
  </si>
  <si>
    <t xml:space="preserve">Identical in two sheets</t>
  </si>
  <si>
    <t xml:space="preserve">Q1 FY18</t>
  </si>
  <si>
    <t xml:space="preserve">2017-06-30</t>
  </si>
  <si>
    <t xml:space="preserve">Q2 FY18</t>
  </si>
  <si>
    <t xml:space="preserve">2017-09-30</t>
  </si>
  <si>
    <t xml:space="preserve">Q3 FY18</t>
  </si>
  <si>
    <t xml:space="preserve">2017-12-31</t>
  </si>
  <si>
    <t xml:space="preserve">One-off: customer insolvency; 17.2% normalised</t>
  </si>
  <si>
    <t xml:space="preserve">2018-03-31</t>
  </si>
  <si>
    <t xml:space="preserve">One-offs: customer insolvency + impairment; 16.0% normalised. Restated in S69: 14.6%, headcount 159,923, revenue 2,019.1</t>
  </si>
  <si>
    <t xml:space="preserve">Q1 FY19</t>
  </si>
  <si>
    <t xml:space="preserve">2018-06-30</t>
  </si>
  <si>
    <t xml:space="preserve">Utilisation excludes acquired entities</t>
  </si>
  <si>
    <t xml:space="preserve">2018-09-30</t>
  </si>
  <si>
    <t xml:space="preserve">S69;S70</t>
  </si>
  <si>
    <t xml:space="preserve">One-off depresses margin; Q3 FY19 +480 bps over Q2 reported (S70)</t>
  </si>
  <si>
    <t xml:space="preserve">2018-12-31</t>
  </si>
  <si>
    <t xml:space="preserve">2019-03-31</t>
  </si>
  <si>
    <t xml:space="preserve">2019-06-30</t>
  </si>
  <si>
    <t xml:space="preserve">2019-09-30</t>
  </si>
  <si>
    <t xml:space="preserve">Q3 FY20</t>
  </si>
  <si>
    <t xml:space="preserve">2019-12-31</t>
  </si>
  <si>
    <t xml:space="preserve">Q4 FY20</t>
  </si>
  <si>
    <t xml:space="preserve">2020-03-31</t>
  </si>
  <si>
    <t xml:space="preserve">2020-06-30</t>
  </si>
  <si>
    <t xml:space="preserve">COVID quarter</t>
  </si>
  <si>
    <t xml:space="preserve">Q2 FY21</t>
  </si>
  <si>
    <t xml:space="preserve">2020-09-30</t>
  </si>
  <si>
    <t xml:space="preserve">2020-12-31</t>
  </si>
  <si>
    <t xml:space="preserve">Q4 FY21</t>
  </si>
  <si>
    <t xml:space="preserve">2021-03-31</t>
  </si>
  <si>
    <t xml:space="preserve">Q1 FY22</t>
  </si>
  <si>
    <t xml:space="preserve">2021-06-30</t>
  </si>
  <si>
    <t xml:space="preserve">Capco acquisition consolidated</t>
  </si>
  <si>
    <t xml:space="preserve">Q2 FY22</t>
  </si>
  <si>
    <t xml:space="preserve">2021-09-30</t>
  </si>
  <si>
    <t xml:space="preserve">Q3 FY22</t>
  </si>
  <si>
    <t xml:space="preserve">2021-12-31</t>
  </si>
  <si>
    <t xml:space="preserve">2022-03-31</t>
  </si>
  <si>
    <t xml:space="preserve">2022-06-30</t>
  </si>
  <si>
    <t xml:space="preserve">2022-09-30</t>
  </si>
  <si>
    <t xml:space="preserve">2022-12-31</t>
  </si>
  <si>
    <t xml:space="preserve">Value from FY24 datasheet; check original Q3 FY23 datasheet for restatement</t>
  </si>
  <si>
    <t xml:space="preserve">Q4 FY23</t>
  </si>
  <si>
    <t xml:space="preserve">2023-03-31</t>
  </si>
  <si>
    <t xml:space="preserve">2023-06-30</t>
  </si>
  <si>
    <t xml:space="preserve">2023-09-30</t>
  </si>
  <si>
    <t xml:space="preserve">S05;S04</t>
  </si>
  <si>
    <t xml:space="preserve">Q3 FY24</t>
  </si>
  <si>
    <t xml:space="preserve">2023-12-31</t>
  </si>
  <si>
    <t xml:space="preserve">2024-03-31</t>
  </si>
  <si>
    <t xml:space="preserve">2024-06-30</t>
  </si>
  <si>
    <t xml:space="preserve">2024-09-30</t>
  </si>
  <si>
    <t xml:space="preserve">2024-12-31</t>
  </si>
  <si>
    <t xml:space="preserve">2025-03-31</t>
  </si>
  <si>
    <t xml:space="preserve">2025-06-30</t>
  </si>
  <si>
    <t xml:space="preserve">2025-09-30</t>
  </si>
  <si>
    <t xml:space="preserve">One-off customer-bankruptcy provision; 17.2% excl. (D1)</t>
  </si>
  <si>
    <t xml:space="preserve">2025-12-31</t>
  </si>
  <si>
    <t xml:space="preserve">2026-03-31</t>
  </si>
  <si>
    <t xml:space="preserve">2026-06-30</t>
  </si>
  <si>
    <t xml:space="preserve">2026-09-30</t>
  </si>
  <si>
    <t xml:space="preserve">S02;S38;S31</t>
  </si>
  <si>
    <t xml:space="preserve">Bloomberg headcount 236,328 agrees (S01)</t>
  </si>
  <si>
    <t xml:space="preserve">Infosys</t>
  </si>
  <si>
    <t xml:space="preserve">Company operating margin (IFRS, USD)</t>
  </si>
  <si>
    <t xml:space="preserve">Company fact sheet</t>
  </si>
  <si>
    <t xml:space="preserve">Attrition reported only on annualised consolidated basis (20.4%) — not used</t>
  </si>
  <si>
    <t xml:space="preserve">Transcript</t>
  </si>
  <si>
    <t xml:space="preserve">CFO and COO statements; no fact sheet collected</t>
  </si>
  <si>
    <t xml:space="preserve">S72;S79</t>
  </si>
  <si>
    <t xml:space="preserve">Attrition annualised, IT services (not LTM)</t>
  </si>
  <si>
    <t xml:space="preserve">Attrition reported only on annualised basis — not used</t>
  </si>
  <si>
    <t xml:space="preserve">S71;S73</t>
  </si>
  <si>
    <t xml:space="preserve">Attrition annualised voluntary, IT services</t>
  </si>
  <si>
    <t xml:space="preserve">COVID quarter; attrition annualised</t>
  </si>
  <si>
    <t xml:space="preserve">Attrition annualised</t>
  </si>
  <si>
    <t xml:space="preserve">S71;S75;S17</t>
  </si>
  <si>
    <t xml:space="preserve">Attrition LTM per S75 (S71 shows 10.0% annualised)</t>
  </si>
  <si>
    <t xml:space="preserve">S42;S43</t>
  </si>
  <si>
    <t xml:space="preserve">Identical in two fact sheets</t>
  </si>
  <si>
    <t xml:space="preserve">S42;S16</t>
  </si>
  <si>
    <t xml:space="preserve">S43;S21</t>
  </si>
  <si>
    <t xml:space="preserve">S44;S45</t>
  </si>
  <si>
    <t xml:space="preserve">S44;S22</t>
  </si>
  <si>
    <t xml:space="preserve">S45;S47</t>
  </si>
  <si>
    <t xml:space="preserve">Identical in infosys.com and SEC copies</t>
  </si>
  <si>
    <t xml:space="preserve">S13;S46;S19</t>
  </si>
  <si>
    <t xml:space="preserve">S46;S47;S48</t>
  </si>
  <si>
    <t xml:space="preserve">S47;S15</t>
  </si>
  <si>
    <t xml:space="preserve">S12;S13;S20</t>
  </si>
  <si>
    <t xml:space="preserve">S13;S48</t>
  </si>
  <si>
    <t xml:space="preserve">One-off: New Labour Codes; 21.2% excluding it</t>
  </si>
  <si>
    <t xml:space="preserve">20.9% USD table vs 21.0% INR table</t>
  </si>
  <si>
    <t xml:space="preserve">S12;S14</t>
  </si>
  <si>
    <t xml:space="preserve">TCS</t>
  </si>
  <si>
    <t xml:space="preserve">Company operating margin</t>
  </si>
  <si>
    <t xml:space="preserve">S49;S108</t>
  </si>
  <si>
    <t xml:space="preserve">Utilisation not disclosed. </t>
  </si>
  <si>
    <t xml:space="preserve">S49;S109</t>
  </si>
  <si>
    <t xml:space="preserve">S49;S110</t>
  </si>
  <si>
    <t xml:space="preserve">Utilisation not disclosed.  Attrition from news report; LTM basis not stated.</t>
  </si>
  <si>
    <t xml:space="preserve">S49;S50;S111</t>
  </si>
  <si>
    <t xml:space="preserve">S49;S50</t>
  </si>
  <si>
    <t xml:space="preserve">S50;S112</t>
  </si>
  <si>
    <t xml:space="preserve">S50;S113</t>
  </si>
  <si>
    <t xml:space="preserve">Utilisation not disclosed. Excludes legal-claim settlement</t>
  </si>
  <si>
    <t xml:space="preserve">S51;S114</t>
  </si>
  <si>
    <t xml:space="preserve">S51;S63;S115</t>
  </si>
  <si>
    <t xml:space="preserve">S51;S63;S116</t>
  </si>
  <si>
    <t xml:space="preserve">S51;S63;S117</t>
  </si>
  <si>
    <t xml:space="preserve">S51;S63</t>
  </si>
  <si>
    <t xml:space="preserve">S63;S64</t>
  </si>
  <si>
    <t xml:space="preserve">Utilisation not disclosed. Bench cap effective 12 Jun 2025</t>
  </si>
  <si>
    <t xml:space="preserve">S10;S64;S118</t>
  </si>
  <si>
    <t xml:space="preserve">Utilisation not disclosed. Excl. exceptional items Attrition reported as 'voluntary LTM' from Q2 FY26.</t>
  </si>
  <si>
    <t xml:space="preserve">S10;S64;S119</t>
  </si>
  <si>
    <t xml:space="preserve">S10;S64;S120</t>
  </si>
  <si>
    <t xml:space="preserve">Utilisation not disclosed.  Attrition reported as 'voluntary LTM' from Q2 FY26.</t>
  </si>
  <si>
    <t xml:space="preserve">S10;S64</t>
  </si>
  <si>
    <t xml:space="preserve">Utilisation not disclosed. CFO: invested in higher bench (S36) Attrition reported as 'voluntary LTM' from Q2 FY26.</t>
  </si>
  <si>
    <t xml:space="preserve">HCLTech</t>
  </si>
  <si>
    <t xml:space="preserve">Company EBIT margin, incl. restructuring (INR)</t>
  </si>
  <si>
    <t xml:space="preserve">Company investor release</t>
  </si>
  <si>
    <t xml:space="preserve">Utilisation not disclosed. IT&amp;BS segment 17.6%</t>
  </si>
  <si>
    <t xml:space="preserve">S52;S54</t>
  </si>
  <si>
    <t xml:space="preserve">Utilisation not disclosed. IT&amp;BS segment 17.2%</t>
  </si>
  <si>
    <t xml:space="preserve">S52;S53;S54</t>
  </si>
  <si>
    <t xml:space="preserve">Utilisation not disclosed. 18.0% INR vs 17.9% USD chart</t>
  </si>
  <si>
    <t xml:space="preserve">S52;S53;S26</t>
  </si>
  <si>
    <t xml:space="preserve">Utilisation not disclosed. IT&amp;BS segment 15.1%</t>
  </si>
  <si>
    <t xml:space="preserve">S11;S52;S53</t>
  </si>
  <si>
    <t xml:space="preserve">Utilisation not disclosed. Incl. 55 bps restructuring (18.0% excl.); IT&amp;BS 16.3%</t>
  </si>
  <si>
    <t xml:space="preserve">S53;S54</t>
  </si>
  <si>
    <t xml:space="preserve">Utilisation not disclosed. Incl. 81 bps restructuring (19.4% excl.); excl. one-time Labour Codes charge; IT&amp;BS 16.4%</t>
  </si>
  <si>
    <t xml:space="preserve">Utilisation not disclosed. Incl. 122 bps restructuring (17.7% excl.); IT&amp;BS 16.3%</t>
  </si>
  <si>
    <t xml:space="preserve">Utilisation not disclosed. Incl. 62 bps restructuring; IT&amp;BS 17.0%</t>
  </si>
  <si>
    <t xml:space="preserve">Utilisation not disclosed. Incl. 84 bps restructuring; IT&amp;BS 18.6%</t>
  </si>
  <si>
    <t xml:space="preserve">LTIMindtree</t>
  </si>
  <si>
    <t xml:space="preserve">Broker research</t>
  </si>
  <si>
    <t xml:space="preserve">Pre-merger LTI + Mindtree combined as reported by broker</t>
  </si>
  <si>
    <t xml:space="preserve">S55;S88</t>
  </si>
  <si>
    <t xml:space="preserve">Company presentation</t>
  </si>
  <si>
    <t xml:space="preserve">Merger-period quarter (one-off costs)</t>
  </si>
  <si>
    <t xml:space="preserve">S56;S88</t>
  </si>
  <si>
    <t xml:space="preserve">S55;S56;S88</t>
  </si>
  <si>
    <t xml:space="preserve">Identical in two presentations</t>
  </si>
  <si>
    <t xml:space="preserve">S57;S88</t>
  </si>
  <si>
    <t xml:space="preserve">Two broker notes agree on margin</t>
  </si>
  <si>
    <t xml:space="preserve">S30;S88</t>
  </si>
  <si>
    <t xml:space="preserve">S57;S30;S88</t>
  </si>
  <si>
    <t xml:space="preserve">News</t>
  </si>
  <si>
    <t xml:space="preserve">15.14% per S89 (consistent with +36 bps to Q1 FY27); S58 says 15.5% — conflict logged</t>
  </si>
  <si>
    <t xml:space="preserve">S89;S90</t>
  </si>
  <si>
    <t xml:space="preserve">Two sources agree</t>
  </si>
  <si>
    <t xml:space="preserve">Utilisation and attrition rounded to whole % in fact sheet</t>
  </si>
  <si>
    <t xml:space="preserve">Headcount in thousands in source</t>
  </si>
  <si>
    <t xml:space="preserve">S87;S61</t>
  </si>
  <si>
    <t xml:space="preserve">S61 shows 10 (rounded)</t>
  </si>
  <si>
    <t xml:space="preserve">S59;S60;S87</t>
  </si>
  <si>
    <t xml:space="preserve">Fact sheet rounds utilisation to 86%</t>
  </si>
  <si>
    <t xml:space="preserve">S60;S87;S28;S61</t>
  </si>
  <si>
    <t xml:space="preserve">S28 calls 85.1% 'incl. trainees' — label conflict</t>
  </si>
  <si>
    <t xml:space="preserve">S60;S61;S87</t>
  </si>
  <si>
    <t xml:space="preserve">Headcount = IT + BPS + S&amp;S</t>
  </si>
  <si>
    <t xml:space="preserve">S60;S87</t>
  </si>
  <si>
    <t xml:space="preserve">S87;S29;S62</t>
  </si>
  <si>
    <t xml:space="preserve">Three sources agree on margin</t>
  </si>
  <si>
    <t xml:space="preserve">News aggregator</t>
  </si>
  <si>
    <t xml:space="preserve">Secondary</t>
  </si>
  <si>
    <t xml:space="preserve">Quarter in which each salary hike first hits the P&amp;L. Wipro and Infosys FY15–FY20 and TCS FY22–FY24 cycles not yet sourced (DQ19). Quarterly_Panel column Q flags these quarters by formula.</t>
  </si>
  <si>
    <t xml:space="preserve">hike_cycle</t>
  </si>
  <si>
    <t xml:space="preserve">effective_date</t>
  </si>
  <si>
    <t xml:space="preserve">first_quarter_of_impact</t>
  </si>
  <si>
    <t xml:space="preserve">scope</t>
  </si>
  <si>
    <t xml:space="preserve">2021-01-01</t>
  </si>
  <si>
    <t xml:space="preserve">Bands B3 and below</t>
  </si>
  <si>
    <t xml:space="preserve">Referenced as 'previously announced for these bands in January 2021'</t>
  </si>
  <si>
    <t xml:space="preserve">FY22</t>
  </si>
  <si>
    <t xml:space="preserve">2021-06-01</t>
  </si>
  <si>
    <t xml:space="preserve">Manager level and above</t>
  </si>
  <si>
    <t xml:space="preserve">2021-09-01</t>
  </si>
  <si>
    <t xml:space="preserve">Bands B3 and below (about 80% of workforce)</t>
  </si>
  <si>
    <t xml:space="preserve">Second hike in 2021</t>
  </si>
  <si>
    <t xml:space="preserve">2022-09-01</t>
  </si>
  <si>
    <t xml:space="preserve">Broad</t>
  </si>
  <si>
    <t xml:space="preserve">CFO: 'last salary increase in September of last year' (said July 2023); day not stated</t>
  </si>
  <si>
    <t xml:space="preserve">2023-12-01</t>
  </si>
  <si>
    <t xml:space="preserve">Eligible employees</t>
  </si>
  <si>
    <t xml:space="preserve">Originally due September 2023</t>
  </si>
  <si>
    <t xml:space="preserve">2024-09-01</t>
  </si>
  <si>
    <t xml:space="preserve">2026-03-01</t>
  </si>
  <si>
    <t xml:space="preserve">Eligible employees (merit salary increase)</t>
  </si>
  <si>
    <t xml:space="preserve">First hike in 18 months; full-quarter effect from Q1 FY27</t>
  </si>
  <si>
    <t xml:space="preserve">All employees</t>
  </si>
  <si>
    <t xml:space="preserve">2022-04-01</t>
  </si>
  <si>
    <t xml:space="preserve">Date inferred from CFO margin walk ('1.6% due to salary increases' in Q1 FY23); exact day not stated</t>
  </si>
  <si>
    <t xml:space="preserve">2023-11-01</t>
  </si>
  <si>
    <t xml:space="preserve">'last raised its salaries in November 2023'</t>
  </si>
  <si>
    <t xml:space="preserve">2025-01-01</t>
  </si>
  <si>
    <t xml:space="preserve">Phase 1</t>
  </si>
  <si>
    <t xml:space="preserve">S102;S103</t>
  </si>
  <si>
    <t xml:space="preserve">2025-04-01</t>
  </si>
  <si>
    <t xml:space="preserve">Phase 2</t>
  </si>
  <si>
    <t xml:space="preserve">CFO; Q1 FY26 walk shows −100 bps compensation (S20)</t>
  </si>
  <si>
    <t xml:space="preserve">2026-10-01</t>
  </si>
  <si>
    <t xml:space="preserve">Q3 FY27</t>
  </si>
  <si>
    <t xml:space="preserve">Most employees</t>
  </si>
  <si>
    <t xml:space="preserve">After panel end</t>
  </si>
  <si>
    <t xml:space="preserve">2027-01-01</t>
  </si>
  <si>
    <t xml:space="preserve">Q4 FY27</t>
  </si>
  <si>
    <t xml:space="preserve">Senior employees</t>
  </si>
  <si>
    <t xml:space="preserve">2024-04-01</t>
  </si>
  <si>
    <t xml:space="preserve">2025-09-01</t>
  </si>
  <si>
    <t xml:space="preserve">About 80% of workforce</t>
  </si>
  <si>
    <t xml:space="preserve">S97;S100;S84</t>
  </si>
  <si>
    <t xml:space="preserve">Deferred from April; CFO: one month of impact in Q2, full quarter in Q3</t>
  </si>
  <si>
    <t xml:space="preserve">2026-04-01</t>
  </si>
  <si>
    <t xml:space="preserve">All eligible employees</t>
  </si>
  <si>
    <t xml:space="preserve">S98;S100;S85</t>
  </si>
  <si>
    <t xml:space="preserve">CFO: 170 bps margin impact</t>
  </si>
  <si>
    <t xml:space="preserve">Source S91: US Federal Reserve G.5 (via FRED, series EXINUS) — monthly average of daily noon buying rates in New York, rupees per US dollar. Quarterly averages are computed in Quarterly_Panel column R (AVERAGEIFS).</t>
  </si>
  <si>
    <t xml:space="preserve">month</t>
  </si>
  <si>
    <t xml:space="preserve">usd_inr_monthly_avg</t>
  </si>
  <si>
    <t xml:space="preserve">2014-01-01</t>
  </si>
  <si>
    <t xml:space="preserve">Q4 FY14</t>
  </si>
  <si>
    <t xml:space="preserve">2014-02-01</t>
  </si>
  <si>
    <t xml:space="preserve">2014-03-01</t>
  </si>
  <si>
    <t xml:space="preserve">2014-04-01</t>
  </si>
  <si>
    <t xml:space="preserve">2014-05-01</t>
  </si>
  <si>
    <t xml:space="preserve">2014-06-01</t>
  </si>
  <si>
    <t xml:space="preserve">2014-07-01</t>
  </si>
  <si>
    <t xml:space="preserve">2014-08-01</t>
  </si>
  <si>
    <t xml:space="preserve">2014-09-01</t>
  </si>
  <si>
    <t xml:space="preserve">2014-10-01</t>
  </si>
  <si>
    <t xml:space="preserve">2014-11-01</t>
  </si>
  <si>
    <t xml:space="preserve">2014-12-01</t>
  </si>
  <si>
    <t xml:space="preserve">2015-01-01</t>
  </si>
  <si>
    <t xml:space="preserve">2015-02-01</t>
  </si>
  <si>
    <t xml:space="preserve">2015-03-01</t>
  </si>
  <si>
    <t xml:space="preserve">2015-04-01</t>
  </si>
  <si>
    <t xml:space="preserve">2015-05-01</t>
  </si>
  <si>
    <t xml:space="preserve">2015-06-01</t>
  </si>
  <si>
    <t xml:space="preserve">2015-07-01</t>
  </si>
  <si>
    <t xml:space="preserve">2015-08-01</t>
  </si>
  <si>
    <t xml:space="preserve">2015-09-01</t>
  </si>
  <si>
    <t xml:space="preserve">2015-10-01</t>
  </si>
  <si>
    <t xml:space="preserve">2015-11-01</t>
  </si>
  <si>
    <t xml:space="preserve">2015-12-01</t>
  </si>
  <si>
    <t xml:space="preserve">2016-01-01</t>
  </si>
  <si>
    <t xml:space="preserve">2016-02-01</t>
  </si>
  <si>
    <t xml:space="preserve">2016-03-01</t>
  </si>
  <si>
    <t xml:space="preserve">2016-04-01</t>
  </si>
  <si>
    <t xml:space="preserve">2016-05-01</t>
  </si>
  <si>
    <t xml:space="preserve">2016-06-01</t>
  </si>
  <si>
    <t xml:space="preserve">2016-07-01</t>
  </si>
  <si>
    <t xml:space="preserve">2016-08-01</t>
  </si>
  <si>
    <t xml:space="preserve">2016-09-01</t>
  </si>
  <si>
    <t xml:space="preserve">2016-10-01</t>
  </si>
  <si>
    <t xml:space="preserve">2016-11-01</t>
  </si>
  <si>
    <t xml:space="preserve">2016-12-01</t>
  </si>
  <si>
    <t xml:space="preserve">2017-01-01</t>
  </si>
  <si>
    <t xml:space="preserve">2017-02-01</t>
  </si>
  <si>
    <t xml:space="preserve">2017-03-01</t>
  </si>
  <si>
    <t xml:space="preserve">2017-04-01</t>
  </si>
  <si>
    <t xml:space="preserve">2017-05-01</t>
  </si>
  <si>
    <t xml:space="preserve">2017-06-01</t>
  </si>
  <si>
    <t xml:space="preserve">2017-07-01</t>
  </si>
  <si>
    <t xml:space="preserve">2017-08-01</t>
  </si>
  <si>
    <t xml:space="preserve">2017-09-01</t>
  </si>
  <si>
    <t xml:space="preserve">2017-10-01</t>
  </si>
  <si>
    <t xml:space="preserve">2017-11-01</t>
  </si>
  <si>
    <t xml:space="preserve">2017-12-01</t>
  </si>
  <si>
    <t xml:space="preserve">2018-01-01</t>
  </si>
  <si>
    <t xml:space="preserve">2018-02-01</t>
  </si>
  <si>
    <t xml:space="preserve">2018-03-01</t>
  </si>
  <si>
    <t xml:space="preserve">2018-04-01</t>
  </si>
  <si>
    <t xml:space="preserve">2018-05-01</t>
  </si>
  <si>
    <t xml:space="preserve">2018-06-01</t>
  </si>
  <si>
    <t xml:space="preserve">2018-07-01</t>
  </si>
  <si>
    <t xml:space="preserve">2018-08-01</t>
  </si>
  <si>
    <t xml:space="preserve">2018-09-01</t>
  </si>
  <si>
    <t xml:space="preserve">2018-10-01</t>
  </si>
  <si>
    <t xml:space="preserve">2018-11-01</t>
  </si>
  <si>
    <t xml:space="preserve">2018-12-01</t>
  </si>
  <si>
    <t xml:space="preserve">2019-01-01</t>
  </si>
  <si>
    <t xml:space="preserve">2019-02-01</t>
  </si>
  <si>
    <t xml:space="preserve">2019-03-01</t>
  </si>
  <si>
    <t xml:space="preserve">2019-04-01</t>
  </si>
  <si>
    <t xml:space="preserve">2019-05-01</t>
  </si>
  <si>
    <t xml:space="preserve">2019-06-01</t>
  </si>
  <si>
    <t xml:space="preserve">2019-07-01</t>
  </si>
  <si>
    <t xml:space="preserve">2019-08-01</t>
  </si>
  <si>
    <t xml:space="preserve">2019-09-01</t>
  </si>
  <si>
    <t xml:space="preserve">2019-10-01</t>
  </si>
  <si>
    <t xml:space="preserve">2019-11-01</t>
  </si>
  <si>
    <t xml:space="preserve">2019-12-01</t>
  </si>
  <si>
    <t xml:space="preserve">2020-01-01</t>
  </si>
  <si>
    <t xml:space="preserve">2020-02-01</t>
  </si>
  <si>
    <t xml:space="preserve">2020-03-01</t>
  </si>
  <si>
    <t xml:space="preserve">2020-04-01</t>
  </si>
  <si>
    <t xml:space="preserve">2020-05-01</t>
  </si>
  <si>
    <t xml:space="preserve">2020-06-01</t>
  </si>
  <si>
    <t xml:space="preserve">2020-07-01</t>
  </si>
  <si>
    <t xml:space="preserve">2020-08-01</t>
  </si>
  <si>
    <t xml:space="preserve">2020-09-01</t>
  </si>
  <si>
    <t xml:space="preserve">2020-10-01</t>
  </si>
  <si>
    <t xml:space="preserve">2020-11-01</t>
  </si>
  <si>
    <t xml:space="preserve">2020-12-01</t>
  </si>
  <si>
    <t xml:space="preserve">2021-02-01</t>
  </si>
  <si>
    <t xml:space="preserve">2021-03-01</t>
  </si>
  <si>
    <t xml:space="preserve">2021-04-01</t>
  </si>
  <si>
    <t xml:space="preserve">2021-05-01</t>
  </si>
  <si>
    <t xml:space="preserve">2021-07-01</t>
  </si>
  <si>
    <t xml:space="preserve">2021-08-01</t>
  </si>
  <si>
    <t xml:space="preserve">2021-10-01</t>
  </si>
  <si>
    <t xml:space="preserve">2021-11-01</t>
  </si>
  <si>
    <t xml:space="preserve">2021-12-01</t>
  </si>
  <si>
    <t xml:space="preserve">2022-01-01</t>
  </si>
  <si>
    <t xml:space="preserve">2022-02-01</t>
  </si>
  <si>
    <t xml:space="preserve">2022-03-01</t>
  </si>
  <si>
    <t xml:space="preserve">2022-05-01</t>
  </si>
  <si>
    <t xml:space="preserve">2022-06-01</t>
  </si>
  <si>
    <t xml:space="preserve">2022-07-01</t>
  </si>
  <si>
    <t xml:space="preserve">2022-08-01</t>
  </si>
  <si>
    <t xml:space="preserve">2022-10-01</t>
  </si>
  <si>
    <t xml:space="preserve">2022-11-01</t>
  </si>
  <si>
    <t xml:space="preserve">2022-12-01</t>
  </si>
  <si>
    <t xml:space="preserve">2023-01-01</t>
  </si>
  <si>
    <t xml:space="preserve">2023-02-01</t>
  </si>
  <si>
    <t xml:space="preserve">2023-03-01</t>
  </si>
  <si>
    <t xml:space="preserve">2023-04-01</t>
  </si>
  <si>
    <t xml:space="preserve">2023-05-01</t>
  </si>
  <si>
    <t xml:space="preserve">2023-06-01</t>
  </si>
  <si>
    <t xml:space="preserve">2023-07-01</t>
  </si>
  <si>
    <t xml:space="preserve">2023-08-01</t>
  </si>
  <si>
    <t xml:space="preserve">2023-09-01</t>
  </si>
  <si>
    <t xml:space="preserve">2023-10-01</t>
  </si>
  <si>
    <t xml:space="preserve">2024-01-01</t>
  </si>
  <si>
    <t xml:space="preserve">2024-02-01</t>
  </si>
  <si>
    <t xml:space="preserve">2024-03-01</t>
  </si>
  <si>
    <t xml:space="preserve">2024-05-01</t>
  </si>
  <si>
    <t xml:space="preserve">2024-06-01</t>
  </si>
  <si>
    <t xml:space="preserve">2024-07-01</t>
  </si>
  <si>
    <t xml:space="preserve">2024-08-01</t>
  </si>
  <si>
    <t xml:space="preserve">2024-10-01</t>
  </si>
  <si>
    <t xml:space="preserve">2024-11-01</t>
  </si>
  <si>
    <t xml:space="preserve">2024-12-01</t>
  </si>
  <si>
    <t xml:space="preserve">2025-02-01</t>
  </si>
  <si>
    <t xml:space="preserve">2025-03-01</t>
  </si>
  <si>
    <t xml:space="preserve">2025-05-01</t>
  </si>
  <si>
    <t xml:space="preserve">2025-06-01</t>
  </si>
  <si>
    <t xml:space="preserve">2025-07-01</t>
  </si>
  <si>
    <t xml:space="preserve">2025-08-01</t>
  </si>
  <si>
    <t xml:space="preserve">2025-10-01</t>
  </si>
  <si>
    <t xml:space="preserve">2025-11-01</t>
  </si>
  <si>
    <t xml:space="preserve">2025-12-01</t>
  </si>
  <si>
    <t xml:space="preserve">2026-01-01</t>
  </si>
  <si>
    <t xml:space="preserve">2026-02-01</t>
  </si>
  <si>
    <t xml:space="preserve">2026-05-01</t>
  </si>
  <si>
    <t xml:space="preserve">2026-06-01</t>
  </si>
  <si>
    <t xml:space="preserve">2026-07-01</t>
  </si>
  <si>
    <t xml:space="preserve">2026-08-01</t>
  </si>
  <si>
    <t xml:space="preserve">2026-09-01</t>
  </si>
  <si>
    <t xml:space="preserve">TCS does not publish utilisation. This log records what management said about utilisation, bench and capacity each quarter, coded only as stated (no inference).</t>
  </si>
  <si>
    <t xml:space="preserve">quarter</t>
  </si>
  <si>
    <t xml:space="preserve">call_date</t>
  </si>
  <si>
    <t xml:space="preserve">topic</t>
  </si>
  <si>
    <t xml:space="preserve">statement (quoted)</t>
  </si>
  <si>
    <t xml:space="preserve">speaker</t>
  </si>
  <si>
    <t xml:space="preserve">coded_direction</t>
  </si>
  <si>
    <t xml:space="preserve">policy_period</t>
  </si>
  <si>
    <t xml:space="preserve">2025-04-10</t>
  </si>
  <si>
    <t xml:space="preserve">Utilisation</t>
  </si>
  <si>
    <t xml:space="preserve">"we focused on improving utilization, productivity and realization" (not quantified)</t>
  </si>
  <si>
    <t xml:space="preserve">Samir Seksaria (CFO)</t>
  </si>
  <si>
    <t xml:space="preserve">Lever named</t>
  </si>
  <si>
    <t xml:space="preserve">Pre-policy</t>
  </si>
  <si>
    <t xml:space="preserve">2025-07-10</t>
  </si>
  <si>
    <t xml:space="preserve">"The demand contraction during the quarter had an impact on our utilization"</t>
  </si>
  <si>
    <t xml:space="preserve">Utilisation down</t>
  </si>
  <si>
    <t xml:space="preserve">Policy quarter (cap from 12 Jun 2025)</t>
  </si>
  <si>
    <t xml:space="preserve">Capacity</t>
  </si>
  <si>
    <t xml:space="preserve">"leads to us carrying excess capacity or additional capacity"</t>
  </si>
  <si>
    <t xml:space="preserve">Excess capacity</t>
  </si>
  <si>
    <t xml:space="preserve">Policy quarter</t>
  </si>
  <si>
    <t xml:space="preserve">2025-10-09</t>
  </si>
  <si>
    <t xml:space="preserve">Bench</t>
  </si>
  <si>
    <t xml:space="preserve">"there has been involuntary attrition as part of regular ongoing efforts pertaining to performance and bench policies"</t>
  </si>
  <si>
    <t xml:space="preserve">Sudeep Kunnumal (CHRO)</t>
  </si>
  <si>
    <t xml:space="preserve">Bench enforcement</t>
  </si>
  <si>
    <t xml:space="preserve">Post-policy</t>
  </si>
  <si>
    <t xml:space="preserve">Restructuring</t>
  </si>
  <si>
    <t xml:space="preserve">"We have released 1% of our workforce, mainly mid and senior level"; ₹1,135 crore severance</t>
  </si>
  <si>
    <t xml:space="preserve">Headcount cut</t>
  </si>
  <si>
    <t xml:space="preserve">Confounder for the before/after test</t>
  </si>
  <si>
    <t xml:space="preserve">Margin</t>
  </si>
  <si>
    <t xml:space="preserve">Pyramid rebalancing +40 bps, operating efficiency +20 bps</t>
  </si>
  <si>
    <t xml:space="preserve">Efficiency up</t>
  </si>
  <si>
    <t xml:space="preserve">2026-01-12</t>
  </si>
  <si>
    <t xml:space="preserve">"in this quarter, we released approximately 1,800 people"</t>
  </si>
  <si>
    <t xml:space="preserve">Productivity, pyramid and other operational efficiencies +80 bps</t>
  </si>
  <si>
    <t xml:space="preserve">2026-04-09</t>
  </si>
  <si>
    <t xml:space="preserve">"higher external consultants' cost of 40 basis points"</t>
  </si>
  <si>
    <t xml:space="preserve">External capacity up</t>
  </si>
  <si>
    <t xml:space="preserve">2026-07-09</t>
  </si>
  <si>
    <t xml:space="preserve">Not discussed; wage increments −170 bps</t>
  </si>
  <si>
    <t xml:space="preserve">Not stated</t>
  </si>
  <si>
    <t xml:space="preserve">2026-10-08</t>
  </si>
  <si>
    <t xml:space="preserve">"we have invested in a higher bench and increased hiring of subcontractors"</t>
  </si>
  <si>
    <t xml:space="preserve">Bench up</t>
  </si>
  <si>
    <t xml:space="preserve">Post-policy: reversal</t>
  </si>
  <si>
    <t xml:space="preserve">"driving better productivity and driving better utilization would be on our radar"</t>
  </si>
  <si>
    <t xml:space="preserve">walk_id</t>
  </si>
  <si>
    <t xml:space="preserve">total_margin_change_bps</t>
  </si>
  <si>
    <t xml:space="preserve">util_attributed_bps</t>
  </si>
  <si>
    <t xml:space="preserve">tier</t>
  </si>
  <si>
    <t xml:space="preserve">util_level_after_pct</t>
  </si>
  <si>
    <t xml:space="preserve">util_change_pts</t>
  </si>
  <si>
    <t xml:space="preserve">bps_per_util_point</t>
  </si>
  <si>
    <t xml:space="preserve">driver_wording (quoted)</t>
  </si>
  <si>
    <t xml:space="preserve">MW01</t>
  </si>
  <si>
    <t xml:space="preserve">A</t>
  </si>
  <si>
    <t xml:space="preserve">"0.4% due to drop in utilization as we create capacity for future"; "40 basis points because of utilization on margins"</t>
  </si>
  <si>
    <t xml:space="preserve">Nilanjan Roy (CFO)</t>
  </si>
  <si>
    <t xml:space="preserve">S16;S42</t>
  </si>
  <si>
    <t xml:space="preserve">Utilisation excl. trainees 87.0% -&gt; 84.7% (fact sheet S42)</t>
  </si>
  <si>
    <t xml:space="preserve">MW02</t>
  </si>
  <si>
    <t xml:space="preserve">"Lower utilization due to specialized hiring and skill/location mismatch: 80 bps"</t>
  </si>
  <si>
    <t xml:space="preserve">Management, via broker note</t>
  </si>
  <si>
    <t xml:space="preserve">S25;S33</t>
  </si>
  <si>
    <t xml:space="preserve">HCLTech does not publish utilisation, so bps per point cannot be computed</t>
  </si>
  <si>
    <t xml:space="preserve">MW03</t>
  </si>
  <si>
    <t xml:space="preserve">80 bps of margin gain attributed to a 2.4% increase in utilisation (as recorded in D1)</t>
  </si>
  <si>
    <t xml:space="preserve">Infosys management</t>
  </si>
  <si>
    <t xml:space="preserve">S32;S72</t>
  </si>
  <si>
    <t xml:space="preserve">Quarter confirmed: fact sheet S72 shows utilisation 81.2% → 83.6% (+2.4 pts) and margin 22.7% → 25.4%</t>
  </si>
  <si>
    <t xml:space="preserve">MW04</t>
  </si>
  <si>
    <t xml:space="preserve">B</t>
  </si>
  <si>
    <t xml:space="preserve">"a 100-basis points improvement due to better operating parameters like utilization, on-site mix and other cost levers"</t>
  </si>
  <si>
    <t xml:space="preserve">Bundled: utilisation + onsite mix + other levers</t>
  </si>
  <si>
    <t xml:space="preserve">MW05</t>
  </si>
  <si>
    <t xml:space="preserve">"80 basis points due to seasonal weakness in operating parameters, higher third-party costs, furloughs"</t>
  </si>
  <si>
    <t xml:space="preserve">Bundled; utilisation fell to 81.7% excl. trainees</t>
  </si>
  <si>
    <t xml:space="preserve">MW06</t>
  </si>
  <si>
    <t xml:space="preserve">"0.5% from cost optimization benefits" ... "comprising of higher utilization, pricing, etc."</t>
  </si>
  <si>
    <t xml:space="preserve">Bundled: utilisation + pricing</t>
  </si>
  <si>
    <t xml:space="preserve">MW07</t>
  </si>
  <si>
    <t xml:space="preserve">"the operation, which is nearly 1%" ... "you've seen utilization improving, you've seen offshore rate improving"</t>
  </si>
  <si>
    <t xml:space="preserve">Jatin Dalal (CFO)</t>
  </si>
  <si>
    <t xml:space="preserve">Bundled; auto-generated transcript; components do not reconcile</t>
  </si>
  <si>
    <t xml:space="preserve">MW08</t>
  </si>
  <si>
    <t xml:space="preserve">"EBIT margin improved 154 basis points sequentially to 18.5%, driven by productivity, utilization, and cost optimization"</t>
  </si>
  <si>
    <t xml:space="preserve">Call summary</t>
  </si>
  <si>
    <t xml:space="preserve">Total only; no split by driver</t>
  </si>
  <si>
    <t xml:space="preserve">MW09</t>
  </si>
  <si>
    <t xml:space="preserve">C</t>
  </si>
  <si>
    <t xml:space="preserve">"utilization, excluding trainees, improving by 1.9% to 84.9%"; walk lists currency +70, Maximus +20, AI investment -50 bps</t>
  </si>
  <si>
    <t xml:space="preserve">Jayesh Sanghrajka (CFO)</t>
  </si>
  <si>
    <t xml:space="preserve">Utilisation not given its own bps</t>
  </si>
  <si>
    <t xml:space="preserve">MW10</t>
  </si>
  <si>
    <t xml:space="preserve">"70 basis points from increase in realization due to Maximus and seasonality"</t>
  </si>
  <si>
    <t xml:space="preserve">Utilisation inside Project Maximus</t>
  </si>
  <si>
    <t xml:space="preserve">MW11</t>
  </si>
  <si>
    <t xml:space="preserve">"80 basis points benefit from Project Maximus"</t>
  </si>
  <si>
    <t xml:space="preserve">MW12</t>
  </si>
  <si>
    <t xml:space="preserve">"30 bps from Project Maximus"; "86% is a little bit above our comfort level"</t>
  </si>
  <si>
    <t xml:space="preserve">MW13</t>
  </si>
  <si>
    <t xml:space="preserve">"30 basis points from Maximus"; compensation -140 bps</t>
  </si>
  <si>
    <t xml:space="preserve">MW14</t>
  </si>
  <si>
    <t xml:space="preserve">Named drivers net -120 bps vs reported -30 bps</t>
  </si>
  <si>
    <t xml:space="preserve">MW15</t>
  </si>
  <si>
    <t xml:space="preserve">"Headwinds on margin came from ... lower utilization" (not quantified)</t>
  </si>
  <si>
    <t xml:space="preserve">Broker note</t>
  </si>
  <si>
    <t xml:space="preserve">Utilisation incl. trainees 85.1%</t>
  </si>
  <si>
    <t xml:space="preserve">MW16</t>
  </si>
  <si>
    <t xml:space="preserve">FY26 guidance</t>
  </si>
  <si>
    <t xml:space="preserve">"lower Utilization ... to cost 10-20 bps" (forward-looking guidance)</t>
  </si>
  <si>
    <t xml:space="preserve">Guidance, not an outcome; exclude from estimation</t>
  </si>
  <si>
    <t xml:space="preserve">MW17</t>
  </si>
  <si>
    <t xml:space="preserve">"increases in utilization, which helped margins by 70 basis points"</t>
  </si>
  <si>
    <t xml:space="preserve">S74;S73</t>
  </si>
  <si>
    <t xml:space="preserve">Utilisation 82.3% (S73) → 83.1%; CFO said 'up nearly 70 basis points'</t>
  </si>
  <si>
    <t xml:space="preserve">MW18</t>
  </si>
  <si>
    <t xml:space="preserve">Q2 FY19 (year-on-year)</t>
  </si>
  <si>
    <t xml:space="preserve">"higher utilization of 40 basis points" (year-on-year reconciliation)</t>
  </si>
  <si>
    <t xml:space="preserve">M.D. Ranganath (CFO)</t>
  </si>
  <si>
    <t xml:space="preserve">Year-on-year, not sequential; Q2 FY18 utilisation needed to compute bps per point</t>
  </si>
  <si>
    <t xml:space="preserve">MW19</t>
  </si>
  <si>
    <t xml:space="preserve">"drop in utilization and higher onsite mix impacted operating margin by 80 basis points"</t>
  </si>
  <si>
    <t xml:space="preserve">Bundled with onsite mix; utilisation 85.6% → 83.8% (furloughs)</t>
  </si>
  <si>
    <t xml:space="preserve">MW20</t>
  </si>
  <si>
    <t xml:space="preserve">"Currency movement helped the margins by 20 basis points which was fully offset by drop in utilization and price realization"</t>
  </si>
  <si>
    <t xml:space="preserve">Utilisation + pricing about −20 bps combined; not separable</t>
  </si>
  <si>
    <t xml:space="preserve">MW21</t>
  </si>
  <si>
    <t xml:space="preserve">"Higher utilization, lower onsite mix and other cost optimization measures helped operating margins by 110 basis points"</t>
  </si>
  <si>
    <t xml:space="preserve">Bundled; utilisation +1.8 pts per COO</t>
  </si>
  <si>
    <t xml:space="preserve">MW22</t>
  </si>
  <si>
    <t xml:space="preserve">"also about utilization which was helping to the tune of about 40 basis"</t>
  </si>
  <si>
    <t xml:space="preserve">Manoj Bhat (CFO)</t>
  </si>
  <si>
    <t xml:space="preserve">Utilisation change not stated; needs TechM Q2–Q3 FY19 fact sheets</t>
  </si>
  <si>
    <t xml:space="preserve">MW23</t>
  </si>
  <si>
    <t xml:space="preserve">"The margin tailwinds came from cost optimization program, improved utilization, lower SG&amp;A"</t>
  </si>
  <si>
    <t xml:space="preserve">Milind Kulkarni (CFO)</t>
  </si>
  <si>
    <t xml:space="preserve">EBITDA margin basis</t>
  </si>
  <si>
    <t xml:space="preserve">MW24</t>
  </si>
  <si>
    <t xml:space="preserve">Currency +80, wage hike and QVA −70, pyramid rebalancing +40, operating efficiency +20 bps; excl. one-time severance</t>
  </si>
  <si>
    <t xml:space="preserve">First full quarter after the 35-day bench cap; utilisation not named</t>
  </si>
  <si>
    <t xml:space="preserve">MW25</t>
  </si>
  <si>
    <t xml:space="preserve">"annual increments ... impacted margins by 170 bps"; currency and efficiency +40 bps</t>
  </si>
  <si>
    <t xml:space="preserve">Wage-hike quarter</t>
  </si>
  <si>
    <t xml:space="preserve">MW26</t>
  </si>
  <si>
    <t xml:space="preserve">"we have invested in a higher bench and increased hiring of subcontractors"; utilisation named as a lever</t>
  </si>
  <si>
    <t xml:space="preserve">Bench rebuilt after the 2025 policy</t>
  </si>
  <si>
    <t xml:space="preserve">MW27</t>
  </si>
  <si>
    <t xml:space="preserve">Productivity, pyramid and efficiencies +80, currency +20, full-quarter wage impact −50, brand and partnerships −50 bps</t>
  </si>
  <si>
    <t xml:space="preserve">Margin stable at 25.2%; utilisation not named</t>
  </si>
  <si>
    <t xml:space="preserve">MW28</t>
  </si>
  <si>
    <t xml:space="preserve">"The demand contraction during the quarter had an impact on our utilization"; offset by lower third-party costs and currency</t>
  </si>
  <si>
    <t xml:space="preserve">Policy quarter (cap from 12 Jun 2025); utilisation fell, not quantified</t>
  </si>
  <si>
    <t xml:space="preserve">MW29</t>
  </si>
  <si>
    <t xml:space="preserve">Realisations +40, currency +110, external consultants and build −40, partner and go-to-market −50, integration −10 bps</t>
  </si>
  <si>
    <t xml:space="preserve">Utilisation and bench not discussed</t>
  </si>
  <si>
    <t xml:space="preserve">event_id</t>
  </si>
  <si>
    <t xml:space="preserve">policy / event</t>
  </si>
  <si>
    <t xml:space="preserve">first_affected_quarter</t>
  </si>
  <si>
    <t xml:space="preserve">analysis_use</t>
  </si>
  <si>
    <t xml:space="preserve">verification</t>
  </si>
  <si>
    <t xml:space="preserve">PE01</t>
  </si>
  <si>
    <t xml:space="preserve">Bench cap: 35 business days a year; 225 billable days rule</t>
  </si>
  <si>
    <t xml:space="preserve">2025-06-12</t>
  </si>
  <si>
    <t xml:space="preserve">Q1 FY26 (effective mid-quarter)</t>
  </si>
  <si>
    <t xml:space="preserve">S35;S40</t>
  </si>
  <si>
    <t xml:space="preserve">Pre-period Q2 FY25–Q1 FY26 vs post Q2 FY26 onward; TCS later rebuilt bench (S36)</t>
  </si>
  <si>
    <t xml:space="preserve">Second source: S40 teaching case</t>
  </si>
  <si>
    <t xml:space="preserve">PE02</t>
  </si>
  <si>
    <t xml:space="preserve">Bench window up to 180 days for Band 2 and below; 45 days for Band 3 and above</t>
  </si>
  <si>
    <t xml:space="preserve">Q3 FY27 (first full quarter)</t>
  </si>
  <si>
    <t xml:space="preserve">First post-policy result: Q3 FY27, due ~Jan 2027</t>
  </si>
  <si>
    <t xml:space="preserve">Single news source; seek company confirmation</t>
  </si>
  <si>
    <t xml:space="preserve">PE03</t>
  </si>
  <si>
    <t xml:space="preserve">CFO says TCS invested in a higher bench and more subcontractors</t>
  </si>
  <si>
    <t xml:space="preserve">2026-10 (Q2 FY27 call)</t>
  </si>
  <si>
    <t xml:space="preserve">Counter-evidence: policy did not keep bench low</t>
  </si>
  <si>
    <t xml:space="preserve">From D1</t>
  </si>
  <si>
    <t xml:space="preserve">PE04</t>
  </si>
  <si>
    <t xml:space="preserve">NITES union complaint to Ministry of Labour and Employment</t>
  </si>
  <si>
    <t xml:space="preserve">2025-07</t>
  </si>
  <si>
    <t xml:space="preserve">Labour-relations risk context</t>
  </si>
  <si>
    <t xml:space="preserve">Week-1 coverage check vs D1 success metrics (all figures are live formulas on Quarterly_Panel and Margin_Walks)</t>
  </si>
  <si>
    <t xml:space="preserve">firm-quarters in panel</t>
  </si>
  <si>
    <t xml:space="preserve">with op margin</t>
  </si>
  <si>
    <t xml:space="preserve">with utilisation (excl. trainees)</t>
  </si>
  <si>
    <t xml:space="preserve">% with utilisation</t>
  </si>
  <si>
    <t xml:space="preserve">first quarter</t>
  </si>
  <si>
    <t xml:space="preserve">last quarter</t>
  </si>
  <si>
    <t xml:space="preserve">Total</t>
  </si>
  <si>
    <t xml:space="preserve">D1 metric</t>
  </si>
  <si>
    <t xml:space="preserve">Target</t>
  </si>
  <si>
    <t xml:space="preserve">Actual (formula)</t>
  </si>
  <si>
    <t xml:space="preserve">Status</t>
  </si>
  <si>
    <t xml:space="preserve">Margin-walk statements, Tier A (utilisation isolated, bps)</t>
  </si>
  <si>
    <t xml:space="preserve">15 firm-quarters</t>
  </si>
  <si>
    <t xml:space="preserve">Firms with ≥1 Tier A statement</t>
  </si>
  <si>
    <t xml:space="preserve">4 firms</t>
  </si>
  <si>
    <t xml:space="preserve">Tier A + B statements (utilisation named with a bps figure)</t>
  </si>
  <si>
    <t xml:space="preserve">(context)</t>
  </si>
  <si>
    <t xml:space="preserve">Info</t>
  </si>
  <si>
    <t xml:space="preserve">Statements where bps per utilisation point is computable (Tier A or B, utilisation change known)</t>
  </si>
  <si>
    <t xml:space="preserve">Firm-quarters with utilisation (excl. trainees), firms that report it: Wipro, Infosys, LTIMindtree</t>
  </si>
  <si>
    <t xml:space="preserve">≥90%</t>
  </si>
  <si>
    <t xml:space="preserve">Panel rows traceable to a Source_Log id</t>
  </si>
  <si>
    <t xml:space="preserve">100%</t>
  </si>
  <si>
    <t xml:space="preserve">Wipro quarters in panel (D1 plan: ~40)</t>
  </si>
  <si>
    <t xml:space="preserve">~40</t>
  </si>
  <si>
    <t xml:space="preserve">issue_id</t>
  </si>
  <si>
    <t xml:space="preserve">severity</t>
  </si>
  <si>
    <t xml:space="preserve">area</t>
  </si>
  <si>
    <t xml:space="preserve">finding</t>
  </si>
  <si>
    <t xml:space="preserve">affects</t>
  </si>
  <si>
    <t xml:space="preserve">action</t>
  </si>
  <si>
    <t xml:space="preserve">owner</t>
  </si>
  <si>
    <t xml:space="preserve">status</t>
  </si>
  <si>
    <t xml:space="preserve">DQ01</t>
  </si>
  <si>
    <t xml:space="preserve">Critical</t>
  </si>
  <si>
    <t xml:space="preserve">Bloomberg exports</t>
  </si>
  <si>
    <t xml:space="preserve">25 of 26 files hold unevaluated BDH/BQL formulas; 282 of 12,460 requested cells (2.3%) have values. KPIC_IT_Services (peer utilisation, attrition, margin) has 0 values.</t>
  </si>
  <si>
    <t xml:space="preserve">All Bloomberg-based panels</t>
  </si>
  <si>
    <t xml:space="preserve">v1.1: Bloomberg no longer needed for the panel — peers rebuilt from company fact sheets/filings. Optional later: refresh on terminal and use as a third source</t>
  </si>
  <si>
    <t xml:space="preserve">James</t>
  </si>
  <si>
    <t xml:space="preserve">Mitigated (v1.1)</t>
  </si>
  <si>
    <t xml:space="preserve">DQ02</t>
  </si>
  <si>
    <t xml:space="preserve">High</t>
  </si>
  <si>
    <t xml:space="preserve">Bloomberg KPIC window</t>
  </si>
  <si>
    <t xml:space="preserve">KPIC requests only 8 quarters (CY2025Q2–CY2027Q1 = Q1 FY26–Q4 FY27), of which 2 are estimates.</t>
  </si>
  <si>
    <t xml:space="preserve">Peer panel depth</t>
  </si>
  <si>
    <t xml:space="preserve">Superseded by fact-sheet panel (v1.1)</t>
  </si>
  <si>
    <t xml:space="preserve">Closed</t>
  </si>
  <si>
    <t xml:space="preserve">DQ03</t>
  </si>
  <si>
    <t xml:space="preserve">TCS / HCLTech disclosure</t>
  </si>
  <si>
    <t xml:space="preserve">TCS and HCLTech do not publish utilisation in fact sheets/releases.</t>
  </si>
  <si>
    <t xml:space="preserve">TCS before/after test; regression sample</t>
  </si>
  <si>
    <t xml:space="preserve">Confirmed again in v1.1 across 6 TCS fact sheets and 4 HCLTech releases: utilisation never disclosed. TCS before/after runs on margin + headcount (19 quarters, Q4 FY22–Q2 FY27) and states that utilisation is unobserved</t>
  </si>
  <si>
    <t xml:space="preserve">Abhiroop</t>
  </si>
  <si>
    <t xml:space="preserve">Open — guide decision</t>
  </si>
  <si>
    <t xml:space="preserve">DQ04</t>
  </si>
  <si>
    <t xml:space="preserve">Margin-walk coverage</t>
  </si>
  <si>
    <t xml:space="preserve">v1.2: 6 Tier A statements across 3 firms (Infosys 4, HCLTech 1, Tech Mahindra 1) after searching FY18–FY27 calls, vs D1 target of 15 across 4. Infosys bundles utilisation into 'Project Maximus' from FY21; TCS names utilisation without sizing it.</t>
  </si>
  <si>
    <t xml:space="preserve">D4 primary estimate</t>
  </si>
  <si>
    <t xml:space="preserve">Extend transcript search to FY15–FY20 (pre-Maximus) in sprint 2; propose to guide that the regression becomes the primary estimate and walks the bounding check</t>
  </si>
  <si>
    <t xml:space="preserve">James / Abhiroop</t>
  </si>
  <si>
    <t xml:space="preserve">DQ05</t>
  </si>
  <si>
    <t xml:space="preserve">Medium</t>
  </si>
  <si>
    <t xml:space="preserve">Margin basis</t>
  </si>
  <si>
    <t xml:space="preserve">Wipro = IT Services segment margin; Infosys/TCS = company; HCLTech = company EBIT incl. restructuring; LTIM/TechM = company EBIT.</t>
  </si>
  <si>
    <t xml:space="preserve">Cross-firm comparison</t>
  </si>
  <si>
    <t xml:space="preserve">Compare QoQ bps changes, not levels; margin_basis column carried on every row</t>
  </si>
  <si>
    <t xml:space="preserve">Mitigated</t>
  </si>
  <si>
    <t xml:space="preserve">DQ06</t>
  </si>
  <si>
    <t xml:space="preserve">Utilisation definition</t>
  </si>
  <si>
    <t xml:space="preserve">Excl. trainees (Wipro, Infosys) vs incl. trainees (Tech Mahindra, Infosys secondary) vs gross (Wipro to FY22).</t>
  </si>
  <si>
    <t xml:space="preserve">Pooled regression</t>
  </si>
  <si>
    <t xml:space="preserve">Separate columns; pooled models use excl-trainee series only</t>
  </si>
  <si>
    <t xml:space="preserve">DQ07</t>
  </si>
  <si>
    <t xml:space="preserve">Infosys Q4 FY26</t>
  </si>
  <si>
    <t xml:space="preserve">Fact sheet shows 20.9% (USD table) and 21.0% (INR table).</t>
  </si>
  <si>
    <t xml:space="preserve">1 row</t>
  </si>
  <si>
    <t xml:space="preserve">Panel uses 20.9% (USD table, consistent with other rows); logged</t>
  </si>
  <si>
    <t xml:space="preserve">DQ08</t>
  </si>
  <si>
    <t xml:space="preserve">One-off items</t>
  </si>
  <si>
    <t xml:space="preserve">Wipro Q2 FY26 customer-bankruptcy provision (16.7% reported, 17.2% excl.); HCLTech restructuring 55/62/84 bps.</t>
  </si>
  <si>
    <t xml:space="preserve">Regression residuals</t>
  </si>
  <si>
    <t xml:space="preserve">Flag in note column; D4 adds one-off dummies</t>
  </si>
  <si>
    <t xml:space="preserve">Open</t>
  </si>
  <si>
    <t xml:space="preserve">DQ09</t>
  </si>
  <si>
    <t xml:space="preserve">Low</t>
  </si>
  <si>
    <t xml:space="preserve">PDF extraction</t>
  </si>
  <si>
    <t xml:space="preserve">Wipro datasheet column headers are garbled in PDF text; quarter mapping anchored on revenue figures and overlap between datasheets.</t>
  </si>
  <si>
    <t xml:space="preserve">Overlaps agree (Q2 FY24 in S04 and S05; Q1 FY26–Q1 FY27 vs D1). Manual 10% spot-check against PDFs before D3</t>
  </si>
  <si>
    <t xml:space="preserve">Partly verified</t>
  </si>
  <si>
    <t xml:space="preserve">DQ10</t>
  </si>
  <si>
    <t xml:space="preserve">Restatements</t>
  </si>
  <si>
    <t xml:space="preserve">Found in v1.2: Wipro Q4 FY16 (20.1% → 19.7%, headcount 172,912 → 156,831) and Q4 FY18 (14.4% → 14.6%, revenue 2,062.0 → 2,019.1) restated in the next year's datasheet. FY23 values still taken from the FY24 sheet.</t>
  </si>
  <si>
    <t xml:space="preserve">Panel keeps originally reported values from each year's own Q4 datasheet; restated values in note column. Wipro headcount definition breaks between FY16 and FY17 — do not use headcount levels across that break</t>
  </si>
  <si>
    <t xml:space="preserve">Logged</t>
  </si>
  <si>
    <t xml:space="preserve">DQ11</t>
  </si>
  <si>
    <t xml:space="preserve">Infosys gaps and bases</t>
  </si>
  <si>
    <t xml:space="preserve">v1.2: Infosys Q4 FY19–Q1 FY27 complete from fact sheets except Q1 FY20 (transcript). Attrition before FY22 is 'annualised', not LTM — not comparable with later values. Q2 FY27 not published at build date.</t>
  </si>
  <si>
    <t xml:space="preserve">Do not use pre-FY22 attrition in pooled models; add Q2 FY27 when released</t>
  </si>
  <si>
    <t xml:space="preserve">Mostly closed</t>
  </si>
  <si>
    <t xml:space="preserve">DQ12</t>
  </si>
  <si>
    <t xml:space="preserve">LTIM / TechM sources</t>
  </si>
  <si>
    <t xml:space="preserve">v1.2: LTIMindtree 15 quarters (13 with utilisation) and Tech Mahindra 11 quarters (10 with utilisation), mostly from broker tables that match company documents on every overlapping quarter. LTIM Q3 FY26 and Q2 FY27 missing; LTIM Q4 FY26 margin conflicts (15.1% vs 15.5%); S88 labels LTIM utilisation 'incl. trainees' but values equal company 'excl. trainees'.</t>
  </si>
  <si>
    <t xml:space="preserve">LTIM, TechM rows</t>
  </si>
  <si>
    <t xml:space="preserve">Usable in pooled regression as a robustness check (flag source_type); primary estimate on Wipro + Infosys</t>
  </si>
  <si>
    <t xml:space="preserve">DQ13</t>
  </si>
  <si>
    <t xml:space="preserve">Bloomberg annual offsets</t>
  </si>
  <si>
    <t xml:space="preserve">FA_WPRO_IN uses BQL FPO offsets relative to Bloomberg's 'current' fiscal year; mapping to FY labels depends on refresh date.</t>
  </si>
  <si>
    <t xml:space="preserve">Annual financial panel</t>
  </si>
  <si>
    <t xml:space="preserve">Read the FISCAL_PERIOD header row after refresh rather than inferring</t>
  </si>
  <si>
    <t xml:space="preserve">DQ14</t>
  </si>
  <si>
    <t xml:space="preserve">Scope</t>
  </si>
  <si>
    <t xml:space="preserve">ESG, credit, dividend, liquidity, contractual-obligation pages are out of scope for the margin question.</t>
  </si>
  <si>
    <t xml:space="preserve">Retained in raw/ for completeness, excluded from processed panel</t>
  </si>
  <si>
    <t xml:space="preserve">DQ16</t>
  </si>
  <si>
    <t xml:space="preserve">Margin definitions inside one firm</t>
  </si>
  <si>
    <t xml:space="preserve">HCLTech reports EBIT incl. and excl. restructuring (55–122 bps); Infosys Q3 FY26 and HCLTech Q3 FY26 carry one-time New Labour Codes charges; TCS excludes exceptional items in some quarters.</t>
  </si>
  <si>
    <t xml:space="preserve">HCLTech, Infosys, TCS rows</t>
  </si>
  <si>
    <t xml:space="preserve">Panel stores the incl.-restructuring / reported series and puts the alternative in the note column; D4 adds one-off dummies</t>
  </si>
  <si>
    <t xml:space="preserve">DQ17</t>
  </si>
  <si>
    <t xml:space="preserve">Screener.in</t>
  </si>
  <si>
    <t xml:space="preserve">Screener's quarterly OPM% is operating profit before depreciation (an EBITDA-type margin), not EBIT/operating margin, and its default page is standalone, not consolidated (checked on screener.in/company/LTM: Operating Profit = Sales − Expenses; Depreciation listed below it). It cannot verify the panel's margins.</t>
  </si>
  <si>
    <t xml:space="preserve">Second-source checks use overlapping company fact sheets instead (each quarter appears in 2–3 consecutive sheets)</t>
  </si>
  <si>
    <t xml:space="preserve">DQ18</t>
  </si>
  <si>
    <t xml:space="preserve">FX source</t>
  </si>
  <si>
    <t xml:space="preserve">USD/INR uses the US Federal Reserve G.5 monthly average (noon buying rate, New York), not the RBI reference rate, because RBI's database could not be reached from this workspace. The two series differ by a few paise.</t>
  </si>
  <si>
    <t xml:space="preserve">Acceptable for a control variable; swap to RBI/FBIL if the guide requires an Indian source</t>
  </si>
  <si>
    <t xml:space="preserve">DQ19</t>
  </si>
  <si>
    <t xml:space="preserve">Wage-hike coverage</t>
  </si>
  <si>
    <t xml:space="preserve">Salary-hike timing sourced for Wipro and Infosys FY21–FY27 and TCS FY25–FY27, mostly from news reports quoting the company or its executives. Earlier cycles (FY15–FY20; TCS FY22–FY24) not yet sourced.</t>
  </si>
  <si>
    <t xml:space="preserve">Run D4 with wage dummies on FY21–FY27; for FY15–FY20 use quarter dummies or find the cycles in old transcripts</t>
  </si>
  <si>
    <t xml:space="preserve">DQ15</t>
  </si>
  <si>
    <t xml:space="preserve">Privacy</t>
  </si>
  <si>
    <t xml:space="preserve">No employee, client or personal data collected. Named people are public company officers quoted from public calls.</t>
  </si>
  <si>
    <t xml:space="preserve">All</t>
  </si>
  <si>
    <t xml:space="preserve">Datasheet section 'Privacy and consent'</t>
  </si>
  <si>
    <t xml:space="preserve">file</t>
  </si>
  <si>
    <t xml:space="preserve">bloomberg_page</t>
  </si>
  <si>
    <t xml:space="preserve">cells_requested</t>
  </si>
  <si>
    <t xml:space="preserve">values_cached</t>
  </si>
  <si>
    <t xml:space="preserve">not_cached</t>
  </si>
  <si>
    <t xml:space="preserve">pct_populated</t>
  </si>
  <si>
    <t xml:space="preserve">estimate_cells</t>
  </si>
  <si>
    <t xml:space="preserve">n_periods</t>
  </si>
  <si>
    <t xml:space="preserve">relevance</t>
  </si>
  <si>
    <t xml:space="preserve">FA_5fdp10z5.xlsx</t>
  </si>
  <si>
    <t xml:space="preserve">Wipro Ltd (WPRO IN) - Credit</t>
  </si>
  <si>
    <t xml:space="preserve">Low / out of scope</t>
  </si>
  <si>
    <t xml:space="preserve">FA_5x1gxcp1.xlsx</t>
  </si>
  <si>
    <t xml:space="preserve">Wipro Ltd (WPRO IN) - Working Capital</t>
  </si>
  <si>
    <t xml:space="preserve">FA_WPRO_IN.xlsx</t>
  </si>
  <si>
    <t xml:space="preserve">WPRO IN Equity</t>
  </si>
  <si>
    <t xml:space="preserve">High — Wipro segment financials</t>
  </si>
  <si>
    <t xml:space="preserve">FA_azncqfkn.xlsx</t>
  </si>
  <si>
    <t xml:space="preserve">Wipro Ltd (WPRO IN) - Standardized</t>
  </si>
  <si>
    <t xml:space="preserve">Low — cash flow</t>
  </si>
  <si>
    <t xml:space="preserve">FA_dmwyxgqw.xlsx</t>
  </si>
  <si>
    <t xml:space="preserve">FA_dn2dasbg.xlsx</t>
  </si>
  <si>
    <t xml:space="preserve">Wipro Ltd (WPRO IN) - BBG Adjusted</t>
  </si>
  <si>
    <t xml:space="preserve">High — Wipro P&amp;L, personnel expense</t>
  </si>
  <si>
    <t xml:space="preserve">FA_dqo4tbkk.xlsx</t>
  </si>
  <si>
    <t xml:space="preserve">Wipro Ltd (WPRO IN) - Overview</t>
  </si>
  <si>
    <t xml:space="preserve">Medium — overview</t>
  </si>
  <si>
    <t xml:space="preserve">FA_go4iyotq.xlsx</t>
  </si>
  <si>
    <t xml:space="preserve">Wipro Ltd (WPRO IN) - Social</t>
  </si>
  <si>
    <t xml:space="preserve">FA_hxqp1f2p.xlsx</t>
  </si>
  <si>
    <t xml:space="preserve">Wipro Ltd (WPRO IN) - Profitability</t>
  </si>
  <si>
    <t xml:space="preserve">Medium — profitability ratios</t>
  </si>
  <si>
    <t xml:space="preserve">FA_jces214e.xlsx</t>
  </si>
  <si>
    <t xml:space="preserve">Wipro Ltd (WPRO IN) - Dividend Summary</t>
  </si>
  <si>
    <t xml:space="preserve">FA_jgsobeh5.xlsx</t>
  </si>
  <si>
    <t xml:space="preserve">Wipro Ltd (WPRO IN) - Contractual Obligations</t>
  </si>
  <si>
    <t xml:space="preserve">FA_lspst4u3.xlsx</t>
  </si>
  <si>
    <t xml:space="preserve">Wipro Ltd (WPRO IN) - As Reported Summary</t>
  </si>
  <si>
    <t xml:space="preserve">Medium — as reported</t>
  </si>
  <si>
    <t xml:space="preserve">FA_m3jeusiw.xlsx</t>
  </si>
  <si>
    <t xml:space="preserve">Wipro Ltd (WPRO IN) - ESG Ratios</t>
  </si>
  <si>
    <t xml:space="preserve">FA_ni5bklkz.xlsx</t>
  </si>
  <si>
    <t xml:space="preserve">Wipro Ltd (WPRO IN) - Yield Analysis</t>
  </si>
  <si>
    <t xml:space="preserve">FA_oq1tcycx.xlsx</t>
  </si>
  <si>
    <t xml:space="preserve">Wipro Ltd (WPRO IN) - Growth</t>
  </si>
  <si>
    <t xml:space="preserve">Low — growth</t>
  </si>
  <si>
    <t xml:space="preserve">FA_po4haopl.xlsx</t>
  </si>
  <si>
    <t xml:space="preserve">FA_qczmixl5.xlsx</t>
  </si>
  <si>
    <t xml:space="preserve">Wipro Ltd (WPRO IN) - Employee Data</t>
  </si>
  <si>
    <t xml:space="preserve">High — Wipro employees</t>
  </si>
  <si>
    <t xml:space="preserve">FA_qpxlrdue.xlsx</t>
  </si>
  <si>
    <t xml:space="preserve">Wipro Ltd (WPRO IN) - Source/Use of Capital</t>
  </si>
  <si>
    <t xml:space="preserve">FA_qqqxrrts.xlsx</t>
  </si>
  <si>
    <t xml:space="preserve">Wipro Ltd (WPRO IN) - BBG Adj Highlights</t>
  </si>
  <si>
    <t xml:space="preserve">Medium — margin history</t>
  </si>
  <si>
    <t xml:space="preserve">FA_rcrctemm.xlsx</t>
  </si>
  <si>
    <t xml:space="preserve">Wipro Ltd (WPRO IN) - CAPEX &amp; Depreciation</t>
  </si>
  <si>
    <t xml:space="preserve">FA_sffm30uv.xlsx</t>
  </si>
  <si>
    <t xml:space="preserve">Wipro Ltd (WPRO IN) - DuPont Analysis</t>
  </si>
  <si>
    <t xml:space="preserve">FA_toxw1bic.xlsx</t>
  </si>
  <si>
    <t xml:space="preserve">Wipro Ltd (WPRO IN) - Fixed Charge</t>
  </si>
  <si>
    <t xml:space="preserve">FA_vik4nfsj.xlsx</t>
  </si>
  <si>
    <t xml:space="preserve">Wipro Ltd (WPRO IN) - Liquidity</t>
  </si>
  <si>
    <t xml:space="preserve">FA_vujtnrpj.xlsx</t>
  </si>
  <si>
    <t xml:space="preserve">Wipro Ltd (WPRO IN) - Comprehensive Income</t>
  </si>
  <si>
    <t xml:space="preserve">FA_w552ginn.xlsx</t>
  </si>
  <si>
    <t xml:space="preserve">Wipro Ltd (WPRO IN) - Credit Ex Operating Leases</t>
  </si>
  <si>
    <t xml:space="preserve">KPIC_IT_Services.xlsx</t>
  </si>
  <si>
    <t xml:space="preserve">IT Services</t>
  </si>
  <si>
    <t xml:space="preserve">High — peer quarterly utilisation, attrition, margin</t>
  </si>
  <si>
    <t xml:space="preserve">Values cached in the Bloomberg exports (S01). 'Last 12M' / TTM = 12 months to 30-Sep-2026. is_estimate=1 rows are Bloomberg consensus (BEst) and are NOT actuals. Duplicate rows across pages removed.</t>
  </si>
  <si>
    <t xml:space="preserve">page</t>
  </si>
  <si>
    <t xml:space="preserve">section</t>
  </si>
  <si>
    <t xml:space="preserve">row_label</t>
  </si>
  <si>
    <t xml:space="preserve">mnemonic</t>
  </si>
  <si>
    <t xml:space="preserve">period</t>
  </si>
  <si>
    <t xml:space="preserve">period_end</t>
  </si>
  <si>
    <t xml:space="preserve">is_estimate</t>
  </si>
  <si>
    <t xml:space="preserve">value</t>
  </si>
  <si>
    <t xml:space="preserve">Cash from Operating Activities</t>
  </si>
  <si>
    <t xml:space="preserve">+ Net Income</t>
  </si>
  <si>
    <t xml:space="preserve">CF_NET_INC</t>
  </si>
  <si>
    <t xml:space="preserve">Last 12M</t>
  </si>
  <si>
    <t xml:space="preserve">09/30/2026</t>
  </si>
  <si>
    <t xml:space="preserve">+ Depreciation &amp; Amortization</t>
  </si>
  <si>
    <t xml:space="preserve">CF_DEPR_AMORT</t>
  </si>
  <si>
    <t xml:space="preserve">+ Non-Cash Items</t>
  </si>
  <si>
    <t xml:space="preserve">NON_CASH_ITEMS_DETAILED</t>
  </si>
  <si>
    <t xml:space="preserve">+ Stock-Based Compensation</t>
  </si>
  <si>
    <t xml:space="preserve">CF_STOCK_BASED_COMPENSATION</t>
  </si>
  <si>
    <t xml:space="preserve">+ Other Non-Cash Adj</t>
  </si>
  <si>
    <t xml:space="preserve">OTHER_NON_CASH_ADJ_LESS_DETAILED</t>
  </si>
  <si>
    <t xml:space="preserve">+ Chg in Non-Cash Work Cap</t>
  </si>
  <si>
    <t xml:space="preserve">CF_CHNG_NON_CASH_WORK_CAP</t>
  </si>
  <si>
    <t xml:space="preserve">+ (Inc) Dec in Accts Receiv</t>
  </si>
  <si>
    <t xml:space="preserve">CF_ACCT_RCV_UNBILLED_REV</t>
  </si>
  <si>
    <t xml:space="preserve">+ (Inc) Dec in Inventories</t>
  </si>
  <si>
    <t xml:space="preserve">CF_CHANGE_IN_INVENTORIES</t>
  </si>
  <si>
    <t xml:space="preserve">+ Inc (Dec) in Other</t>
  </si>
  <si>
    <t xml:space="preserve">INC_DEC_IN_OT_OP_AST_LIAB_DETAIL</t>
  </si>
  <si>
    <t xml:space="preserve">+ Net Cash From Disc Ops</t>
  </si>
  <si>
    <t xml:space="preserve">CF_NET_CASH_DISCONT_OPS_OPER</t>
  </si>
  <si>
    <t xml:space="preserve">CF_CASH_FROM_OPER</t>
  </si>
  <si>
    <t xml:space="preserve">Cash from Investing Activities</t>
  </si>
  <si>
    <t xml:space="preserve">+ Change in Fixed &amp; Intang</t>
  </si>
  <si>
    <t xml:space="preserve">FIXED_INTANG_ASST_CHANGE</t>
  </si>
  <si>
    <t xml:space="preserve">+ Disp in Fixed &amp; Intang</t>
  </si>
  <si>
    <t xml:space="preserve">DISPOSAL_OF_FIXED_INTANG</t>
  </si>
  <si>
    <t xml:space="preserve">+ Disp of Fixed Prod Assets</t>
  </si>
  <si>
    <t xml:space="preserve">CF_DISPOSAL_OF_FIXED_PROD_ASSETS</t>
  </si>
  <si>
    <t xml:space="preserve">+ Disp of Intangible Assets</t>
  </si>
  <si>
    <t xml:space="preserve">CF_DISPOSAL_OF_INTANGIBLE_ASSETS</t>
  </si>
  <si>
    <t xml:space="preserve">+ Acq of Fixed &amp; Intang</t>
  </si>
  <si>
    <t xml:space="preserve">ACQUIS_OF_FIXED_INTANG</t>
  </si>
  <si>
    <t xml:space="preserve">+ Acq of Fixed Prod Assets</t>
  </si>
  <si>
    <t xml:space="preserve">CF_PURCHASE_OF_FIXED_PROD_ASSETS</t>
  </si>
  <si>
    <t xml:space="preserve">+ Acq of Intangible Assets</t>
  </si>
  <si>
    <t xml:space="preserve">CF_ACQUISITION_OF_INTANG_ASSETS</t>
  </si>
  <si>
    <t xml:space="preserve">+ Net Change in LT Investment</t>
  </si>
  <si>
    <t xml:space="preserve">NET_CHG_IN_LT_INVEST_DETAILED</t>
  </si>
  <si>
    <t xml:space="preserve">+ Dec in LT Investment</t>
  </si>
  <si>
    <t xml:space="preserve">CF_DECR_INVEST</t>
  </si>
  <si>
    <t xml:space="preserve">+ Inc in LT Investment</t>
  </si>
  <si>
    <t xml:space="preserve">CF_INCR_INVEST</t>
  </si>
  <si>
    <t xml:space="preserve">+ Net Cash From Acq &amp; Div</t>
  </si>
  <si>
    <t xml:space="preserve">CF_NT_CSH_RCVD_PD_FOR_ACQUIS_DIV</t>
  </si>
  <si>
    <t xml:space="preserve">+ Cash from Divestitures</t>
  </si>
  <si>
    <t xml:space="preserve">CF_CASH_FOR_DIVESTITURES</t>
  </si>
  <si>
    <t xml:space="preserve">+ Cash for Acq of Subs</t>
  </si>
  <si>
    <t xml:space="preserve">CF_CASH_FOR_ACQUIS_SUBSIDIARIES</t>
  </si>
  <si>
    <t xml:space="preserve">+ Cash for JVs</t>
  </si>
  <si>
    <t xml:space="preserve">CF_CASH_FOR_JOINT_VENTURES_ASSOC</t>
  </si>
  <si>
    <t xml:space="preserve">+ Other Investing Activities</t>
  </si>
  <si>
    <t xml:space="preserve">OTHER_INVESTING_ACT_DETAILED</t>
  </si>
  <si>
    <t xml:space="preserve">CF_CASH_FROM_INV_ACT</t>
  </si>
  <si>
    <t xml:space="preserve">Cash from Financing Activities</t>
  </si>
  <si>
    <t xml:space="preserve">+ Dividends Paid</t>
  </si>
  <si>
    <t xml:space="preserve">CF_DVD_PAID</t>
  </si>
  <si>
    <t xml:space="preserve">+ Cash From (Repayment) Debt</t>
  </si>
  <si>
    <t xml:space="preserve">PROC_FR_REPAYMNTS_BOR_DETAILED</t>
  </si>
  <si>
    <t xml:space="preserve">+ Cash (Repurchase) of Equity</t>
  </si>
  <si>
    <t xml:space="preserve">PROC_FR_REPURCH_EQTY_DETAILED</t>
  </si>
  <si>
    <t xml:space="preserve">+ Increase in Capital Stock</t>
  </si>
  <si>
    <t xml:space="preserve">CF_INCR_CAP_STOCK</t>
  </si>
  <si>
    <t xml:space="preserve">+ Decrease in Capital Stock</t>
  </si>
  <si>
    <t xml:space="preserve">CF_DECR_CAP_STOCK</t>
  </si>
  <si>
    <t xml:space="preserve">+ Other Financing Activities</t>
  </si>
  <si>
    <t xml:space="preserve">OTHER_FIN_AND_DEC_CAP</t>
  </si>
  <si>
    <t xml:space="preserve">CFF_ACTIVITIES_DETAILED</t>
  </si>
  <si>
    <t xml:space="preserve">Effect of Foreign Exchange Rates</t>
  </si>
  <si>
    <t xml:space="preserve">CF_EFFECT_FOREIGN_EXCHANGES</t>
  </si>
  <si>
    <t xml:space="preserve">Net Changes in Cash</t>
  </si>
  <si>
    <t xml:space="preserve">CF_NET_CHNG_CASH</t>
  </si>
  <si>
    <t xml:space="preserve">Cash Paid for Taxes</t>
  </si>
  <si>
    <t xml:space="preserve">CF_CASH_PAID_FOR_TAX</t>
  </si>
  <si>
    <t xml:space="preserve">Cash Paid for Interest</t>
  </si>
  <si>
    <t xml:space="preserve">CF_ACT_CASH_PAID_FOR_INT_DEBT</t>
  </si>
  <si>
    <t xml:space="preserve">Reference Items</t>
  </si>
  <si>
    <t xml:space="preserve">EBITDA</t>
  </si>
  <si>
    <t xml:space="preserve">Trailing 12M EBITDA Margin</t>
  </si>
  <si>
    <t xml:space="preserve">EBITDA_MARGIN</t>
  </si>
  <si>
    <t xml:space="preserve">Interest Received</t>
  </si>
  <si>
    <t xml:space="preserve">CF_INTEREST_RECEIVED</t>
  </si>
  <si>
    <t xml:space="preserve">Free Cash Flow</t>
  </si>
  <si>
    <t xml:space="preserve">CF_FREE_CASH_FLOW</t>
  </si>
  <si>
    <t xml:space="preserve">Free Cash Flow to Firm</t>
  </si>
  <si>
    <t xml:space="preserve">CF_FREE_CASH_FLOW_FIRM</t>
  </si>
  <si>
    <t xml:space="preserve">Free Cash Flow to Equity</t>
  </si>
  <si>
    <t xml:space="preserve">FREE_CASH_FLOW_EQUITY</t>
  </si>
  <si>
    <t xml:space="preserve">Free Cash Flow per Basic Share</t>
  </si>
  <si>
    <t xml:space="preserve">FREE_CASH_FLOW_PER_SH</t>
  </si>
  <si>
    <t xml:space="preserve">Price to Free Cash Flow</t>
  </si>
  <si>
    <t xml:space="preserve">PX_TO_FREE_CASH_FLOW</t>
  </si>
  <si>
    <t xml:space="preserve">Cash Flow to Net Income</t>
  </si>
  <si>
    <t xml:space="preserve">CASH_FLOW_TO_NET_INC</t>
  </si>
  <si>
    <t xml:space="preserve">Revenue</t>
  </si>
  <si>
    <t xml:space="preserve">SALES_REV_TURN</t>
  </si>
  <si>
    <t xml:space="preserve">FY 2027 Est</t>
  </si>
  <si>
    <t xml:space="preserve">03/31/2027</t>
  </si>
  <si>
    <t xml:space="preserve">FY 2028 Est</t>
  </si>
  <si>
    <t xml:space="preserve">03/31/2028</t>
  </si>
  <si>
    <t xml:space="preserve">+ Sales &amp; Services Revenue</t>
  </si>
  <si>
    <t xml:space="preserve">IS_SALES_AND_SERVICES_REVENUES</t>
  </si>
  <si>
    <t xml:space="preserve">- Cost of Revenue</t>
  </si>
  <si>
    <t xml:space="preserve">IS_COGS_TO_FE_AND_PP_AND_G</t>
  </si>
  <si>
    <t xml:space="preserve">+ Cost of Goods &amp; Services</t>
  </si>
  <si>
    <t xml:space="preserve">IS_COG_AND_SERVICES_SOLD</t>
  </si>
  <si>
    <t xml:space="preserve">Gross Profit</t>
  </si>
  <si>
    <t xml:space="preserve">GROSS_PROFIT</t>
  </si>
  <si>
    <t xml:space="preserve">+ Other Operating Income</t>
  </si>
  <si>
    <t xml:space="preserve">IS_OTHER_OPER_INC</t>
  </si>
  <si>
    <t xml:space="preserve">- Operating Expenses</t>
  </si>
  <si>
    <t xml:space="preserve">IS_OPERATING_EXPN</t>
  </si>
  <si>
    <t xml:space="preserve">+ Selling, General &amp; Admin</t>
  </si>
  <si>
    <t xml:space="preserve">IS_SGA_EXPENSE</t>
  </si>
  <si>
    <t xml:space="preserve">+ Selling &amp; Marketing</t>
  </si>
  <si>
    <t xml:space="preserve">IS_SELLING_EXPENSES</t>
  </si>
  <si>
    <t xml:space="preserve">+ General &amp; Administrative</t>
  </si>
  <si>
    <t xml:space="preserve">IS_GENERAL_AND_ADMINISTRATIVE</t>
  </si>
  <si>
    <t xml:space="preserve">+ Other Operating Expense</t>
  </si>
  <si>
    <t xml:space="preserve">IS_OTHER_OPERATING_EXPENSES</t>
  </si>
  <si>
    <t xml:space="preserve">Operating Income (Loss)</t>
  </si>
  <si>
    <t xml:space="preserve">IS_OPER_INC</t>
  </si>
  <si>
    <t xml:space="preserve">- Non-Operating (Income) Loss</t>
  </si>
  <si>
    <t xml:space="preserve">IS_NONOP_INCOME_LOSS</t>
  </si>
  <si>
    <t xml:space="preserve">+ Interest Expense, Net</t>
  </si>
  <si>
    <t xml:space="preserve">IS_NET_INTEREST_EXPENSE</t>
  </si>
  <si>
    <t xml:space="preserve">+ Interest Expense</t>
  </si>
  <si>
    <t xml:space="preserve">IS_INT_EXPENSE</t>
  </si>
  <si>
    <t xml:space="preserve">- Interest Income</t>
  </si>
  <si>
    <t xml:space="preserve">IS_INT_INC</t>
  </si>
  <si>
    <t xml:space="preserve">+ Other Investment (Inc) Loss</t>
  </si>
  <si>
    <t xml:space="preserve">IS_OTHER_INVESTMENT_INCOME_LOSS</t>
  </si>
  <si>
    <t xml:space="preserve">+ Foreign Exch (Gain) Loss</t>
  </si>
  <si>
    <t xml:space="preserve">IS_FOREIGN_EXCH_LOSS</t>
  </si>
  <si>
    <t xml:space="preserve">+ (Income) Loss from Affiliates</t>
  </si>
  <si>
    <t xml:space="preserve">INCOME_LOSS_FROM_AFFILIATES</t>
  </si>
  <si>
    <t xml:space="preserve">+ Other Non-Op (Income) Loss</t>
  </si>
  <si>
    <t xml:space="preserve">IS_OTHER_NON_OPERATING_INC_LOSS</t>
  </si>
  <si>
    <t xml:space="preserve">Pretax Income (Loss), Adjusted</t>
  </si>
  <si>
    <t xml:space="preserve">PRETAX_INC</t>
  </si>
  <si>
    <t xml:space="preserve">- Abnormal Losses (Gains)</t>
  </si>
  <si>
    <t xml:space="preserve">IS_ABNORMAL_ITEM</t>
  </si>
  <si>
    <t xml:space="preserve">+ Disposal of Assets</t>
  </si>
  <si>
    <t xml:space="preserve">IS_GAIN_LOSS_DISPOSAL_ASSETS</t>
  </si>
  <si>
    <t xml:space="preserve">+ Sale of Investments</t>
  </si>
  <si>
    <t xml:space="preserve">IS_GAIN_LOSS_ON_INVESTMENTS</t>
  </si>
  <si>
    <t xml:space="preserve">Pretax Income (Loss), GAAP</t>
  </si>
  <si>
    <t xml:space="preserve">- Income Tax Expense (Benefit)</t>
  </si>
  <si>
    <t xml:space="preserve">IS_INC_TAX_EXP</t>
  </si>
  <si>
    <t xml:space="preserve">+ Current Income Tax</t>
  </si>
  <si>
    <t xml:space="preserve">IS_CURRENT_INCOME_TAX_BENEFIT</t>
  </si>
  <si>
    <t xml:space="preserve">+ Deferred Income Tax</t>
  </si>
  <si>
    <t xml:space="preserve">IS_DEFERRED_INCOME_TAX_BENEFIT</t>
  </si>
  <si>
    <t xml:space="preserve">Income (Loss) from Cont Ops</t>
  </si>
  <si>
    <t xml:space="preserve">IS_INC_BEF_XO_ITEM</t>
  </si>
  <si>
    <t xml:space="preserve">- Net Extraordinary Losses (Gains)</t>
  </si>
  <si>
    <t xml:space="preserve">XO_GL_NET_OF_TAX</t>
  </si>
  <si>
    <t xml:space="preserve">+ Discontinued Operations</t>
  </si>
  <si>
    <t xml:space="preserve">IS_DISCONTINUED_OPERATIONS</t>
  </si>
  <si>
    <t xml:space="preserve">+ XO &amp; Accounting Changes</t>
  </si>
  <si>
    <t xml:space="preserve">EXTRAORD_ITEMS_ACCOUNTING_CHANGS</t>
  </si>
  <si>
    <t xml:space="preserve">Income (Loss) Incl. MI</t>
  </si>
  <si>
    <t xml:space="preserve">NI_INCLUDING_MINORITY_INT_RATIO</t>
  </si>
  <si>
    <t xml:space="preserve">- Minority Interest</t>
  </si>
  <si>
    <t xml:space="preserve">MIN_NONCONTROL_INTEREST_CREDITS</t>
  </si>
  <si>
    <t xml:space="preserve">Net Income, GAAP</t>
  </si>
  <si>
    <t xml:space="preserve">NET_INCOME</t>
  </si>
  <si>
    <t xml:space="preserve">- Preferred Dividends</t>
  </si>
  <si>
    <t xml:space="preserve">IS_TOT_CASH_PFD_DVD</t>
  </si>
  <si>
    <t xml:space="preserve">- Other Adjustments</t>
  </si>
  <si>
    <t xml:space="preserve">OTHER_ADJUSTMENTS</t>
  </si>
  <si>
    <t xml:space="preserve">Net Income Avail to Common, GAAP</t>
  </si>
  <si>
    <t xml:space="preserve">EARN_FOR_COMMON</t>
  </si>
  <si>
    <t xml:space="preserve">Net Income Avail to Common, Adj</t>
  </si>
  <si>
    <t xml:space="preserve">Net Abnormal Losses (Gains)</t>
  </si>
  <si>
    <t xml:space="preserve">IS_NET_ABNORMAL_ITEMS</t>
  </si>
  <si>
    <t xml:space="preserve">Net Extraordinary Losses (Gains)</t>
  </si>
  <si>
    <t xml:space="preserve">Basic Weighted Avg Shares</t>
  </si>
  <si>
    <t xml:space="preserve">IS_AVG_NUM_SH_FOR_EPS</t>
  </si>
  <si>
    <t xml:space="preserve">Basic EPS, GAAP</t>
  </si>
  <si>
    <t xml:space="preserve">IS_EPS</t>
  </si>
  <si>
    <t xml:space="preserve">Basic EPS from Cont Ops, GAAP</t>
  </si>
  <si>
    <t xml:space="preserve">IS_EARN_BEF_XO_ITEMS_PER_SH</t>
  </si>
  <si>
    <t xml:space="preserve">Basic EPS from Cont Ops, Adjusted</t>
  </si>
  <si>
    <t xml:space="preserve">IS_BASIC_EPS_CONT_OPS</t>
  </si>
  <si>
    <t xml:space="preserve">Diluted Weighted Avg Shares</t>
  </si>
  <si>
    <t xml:space="preserve">IS_SH_FOR_DILUTED_EPS</t>
  </si>
  <si>
    <t xml:space="preserve">Diluted EPS, GAAP</t>
  </si>
  <si>
    <t xml:space="preserve">IS_DILUTED_EPS</t>
  </si>
  <si>
    <t xml:space="preserve">Diluted EPS from Cont Ops, GAAP</t>
  </si>
  <si>
    <t xml:space="preserve">IS_DIL_EPS_BEF_XO</t>
  </si>
  <si>
    <t xml:space="preserve">Diluted EPS from Cont Ops, Adjusted</t>
  </si>
  <si>
    <t xml:space="preserve">IS_DIL_EPS_CONT_OPS</t>
  </si>
  <si>
    <t xml:space="preserve">EBITDA Margin (T12M)</t>
  </si>
  <si>
    <t xml:space="preserve">EBITA</t>
  </si>
  <si>
    <t xml:space="preserve">EBIT</t>
  </si>
  <si>
    <t xml:space="preserve">Gross Margin</t>
  </si>
  <si>
    <t xml:space="preserve">GROSS_MARGIN</t>
  </si>
  <si>
    <t xml:space="preserve">Operating Margin</t>
  </si>
  <si>
    <t xml:space="preserve">OPER_MARGIN</t>
  </si>
  <si>
    <t xml:space="preserve">Profit Margin</t>
  </si>
  <si>
    <t xml:space="preserve">PROF_MARGIN</t>
  </si>
  <si>
    <t xml:space="preserve">Sales per Employee</t>
  </si>
  <si>
    <t xml:space="preserve">ACTUAL_SALES_PER_EMPL</t>
  </si>
  <si>
    <t xml:space="preserve">Dividends per Share</t>
  </si>
  <si>
    <t xml:space="preserve">EQY_DPS</t>
  </si>
  <si>
    <t xml:space="preserve">Personnel Expenses</t>
  </si>
  <si>
    <t xml:space="preserve">IS_PERSONNEL_EXP</t>
  </si>
  <si>
    <t xml:space="preserve">Depreciation Expense</t>
  </si>
  <si>
    <t xml:space="preserve">IS_DEPR_EXP</t>
  </si>
  <si>
    <t xml:space="preserve">Number of Employees</t>
  </si>
  <si>
    <t xml:space="preserve">Last Price</t>
  </si>
  <si>
    <t xml:space="preserve">PX_LAST</t>
  </si>
  <si>
    <t xml:space="preserve">Shares Outstanding</t>
  </si>
  <si>
    <t xml:space="preserve">BS_SH_OUT</t>
  </si>
  <si>
    <t xml:space="preserve">Market Capitalization</t>
  </si>
  <si>
    <t xml:space="preserve">HISTORICAL_MARKET_CAP</t>
  </si>
  <si>
    <t xml:space="preserve">Net Income (Losses)</t>
  </si>
  <si>
    <t xml:space="preserve">Trailing 12M Earnings per Share</t>
  </si>
  <si>
    <t xml:space="preserve">TRAIL_12M_EPS</t>
  </si>
  <si>
    <t xml:space="preserve">Price/T12M Earnings per Share</t>
  </si>
  <si>
    <t xml:space="preserve">PE_RATIO</t>
  </si>
  <si>
    <t xml:space="preserve">Dividend Payout Ratio</t>
  </si>
  <si>
    <t xml:space="preserve">DVD_PAYOUT_RATIO</t>
  </si>
  <si>
    <t xml:space="preserve">Dividend Yield</t>
  </si>
  <si>
    <t xml:space="preserve">DIVIDEND_12_MONTH_YIELD</t>
  </si>
  <si>
    <t xml:space="preserve">Net Fixed Assets</t>
  </si>
  <si>
    <t xml:space="preserve">BS_NET_FIX_ASSET</t>
  </si>
  <si>
    <t xml:space="preserve">Total Assets</t>
  </si>
  <si>
    <t xml:space="preserve">BS_TOT_ASSET</t>
  </si>
  <si>
    <t xml:space="preserve">Total Liabilities</t>
  </si>
  <si>
    <t xml:space="preserve">BS_TOT_LIAB2</t>
  </si>
  <si>
    <t xml:space="preserve">Total Equity</t>
  </si>
  <si>
    <t xml:space="preserve">TOTAL_EQUITY</t>
  </si>
  <si>
    <t xml:space="preserve">Book Value per Share</t>
  </si>
  <si>
    <t xml:space="preserve">BOOK_VAL_PER_SH</t>
  </si>
  <si>
    <t xml:space="preserve">Price/Book Value per Share</t>
  </si>
  <si>
    <t xml:space="preserve">PX_TO_BOOK_RATIO</t>
  </si>
  <si>
    <t xml:space="preserve">Net Tangible Assets per Share</t>
  </si>
  <si>
    <t xml:space="preserve">TANG_BOOK_VAL_PER_SH</t>
  </si>
  <si>
    <t xml:space="preserve">Altman's Z-Score</t>
  </si>
  <si>
    <t xml:space="preserve">ALTMAN_Z_SCORE</t>
  </si>
  <si>
    <t xml:space="preserve">Cash From Operations</t>
  </si>
  <si>
    <t xml:space="preserve">Cash Flow per Share</t>
  </si>
  <si>
    <t xml:space="preserve">CASH_FLOW_PER_SH</t>
  </si>
  <si>
    <t xml:space="preserve">T12 Cash Flows to Equity</t>
  </si>
  <si>
    <t xml:space="preserve">+ Cash From Operations</t>
  </si>
  <si>
    <t xml:space="preserve">TRAIL_12M_CASH_FROM_OPER</t>
  </si>
  <si>
    <t xml:space="preserve">TRAIL_12M_FREE_CASH_FLOW</t>
  </si>
  <si>
    <t xml:space="preserve">Current/LTM</t>
  </si>
  <si>
    <t xml:space="preserve">- Cash &amp; Equivalents</t>
  </si>
  <si>
    <t xml:space="preserve">CASH_AND_MARKETABLE_SECURITIES</t>
  </si>
  <si>
    <t xml:space="preserve">+ Preferred &amp; Other</t>
  </si>
  <si>
    <t xml:space="preserve">PFD_EQTY_MINORTY_INTEREST</t>
  </si>
  <si>
    <t xml:space="preserve">+ Total Debt</t>
  </si>
  <si>
    <t xml:space="preserve">SHORT_AND_LONG_TERM_DEBT</t>
  </si>
  <si>
    <t xml:space="preserve">Enterprise Value</t>
  </si>
  <si>
    <t xml:space="preserve">ENTERPRISE_VALUE</t>
  </si>
  <si>
    <t xml:space="preserve">Revenue, Adj</t>
  </si>
  <si>
    <t xml:space="preserve">Growth %, YoY</t>
  </si>
  <si>
    <t xml:space="preserve">SALES_GROWTH</t>
  </si>
  <si>
    <t xml:space="preserve">Gross Profit, Adj</t>
  </si>
  <si>
    <t xml:space="preserve">Margin %</t>
  </si>
  <si>
    <t xml:space="preserve">FY 2020</t>
  </si>
  <si>
    <t xml:space="preserve">03/31/2020</t>
  </si>
  <si>
    <t xml:space="preserve">FY 2021</t>
  </si>
  <si>
    <t xml:space="preserve">03/31/2021</t>
  </si>
  <si>
    <t xml:space="preserve">FY 2022</t>
  </si>
  <si>
    <t xml:space="preserve">03/31/2022</t>
  </si>
  <si>
    <t xml:space="preserve">FY 2023</t>
  </si>
  <si>
    <t xml:space="preserve">03/31/2023</t>
  </si>
  <si>
    <t xml:space="preserve">FY 2024</t>
  </si>
  <si>
    <t xml:space="preserve">03/31/2024</t>
  </si>
  <si>
    <t xml:space="preserve">FY 2025</t>
  </si>
  <si>
    <t xml:space="preserve">03/31/2025</t>
  </si>
  <si>
    <t xml:space="preserve">FY 2026</t>
  </si>
  <si>
    <t xml:space="preserve">03/31/2026</t>
  </si>
  <si>
    <t xml:space="preserve">EBITDA, Adj</t>
  </si>
  <si>
    <t xml:space="preserve">Net Income, Adj</t>
  </si>
  <si>
    <t xml:space="preserve">EPS, Adj</t>
  </si>
  <si>
    <t xml:space="preserve">DILUTED_EPS_AFT_XO_ITEMS_GROWTH</t>
  </si>
  <si>
    <t xml:space="preserve">Cash from Operations</t>
  </si>
  <si>
    <t xml:space="preserve">Capital Expenditures</t>
  </si>
  <si>
    <t xml:space="preserve">CAPITAL_EXPEND</t>
  </si>
  <si>
    <t xml:space="preserve">Net Income</t>
  </si>
  <si>
    <t xml:space="preserve">+ Foreign Curr Transl Adj - Other Compreh Income</t>
  </si>
  <si>
    <t xml:space="preserve">IS_FOREIGN_CRNCY_TRANS_ADJ</t>
  </si>
  <si>
    <t xml:space="preserve">+ Unrealized Gain (Loss)</t>
  </si>
  <si>
    <t xml:space="preserve">IS_UNREALIZED_GAIN_LOSS_COMP_INC</t>
  </si>
  <si>
    <t xml:space="preserve">+ Pension Related Adjust Other Comprehensive Inc</t>
  </si>
  <si>
    <t xml:space="preserve">IS_OTHER_COMPREHENSIVE_INCOME</t>
  </si>
  <si>
    <t xml:space="preserve">+ Oth Adj-Oth Comp Inc</t>
  </si>
  <si>
    <t xml:space="preserve">IS_OTHER_ADJ_COMP_INC</t>
  </si>
  <si>
    <t xml:space="preserve">Comprehensive Income</t>
  </si>
  <si>
    <t xml:space="preserve">IS_COMPREHENSIVE_INCOME</t>
  </si>
  <si>
    <t xml:space="preserve">Basic Comprehensive EPS</t>
  </si>
  <si>
    <t xml:space="preserve">IS_COMPREHENSIVE_INCOME_PER_SHR</t>
  </si>
  <si>
    <t xml:space="preserve">Basic EPS</t>
  </si>
  <si>
    <t xml:space="preserve">Which metrics the KPI Comparison file requests for each firm (quarterly, Q1 FY26–Q4 FY27). '—' = Bloomberg has no field for that firm on this screen (e.g. Infosys adjusted operating margin and attrition, HCLTech net additions). All cells currently empty — see DQ01.</t>
  </si>
  <si>
    <t xml:space="preserve">entity</t>
  </si>
  <si>
    <t xml:space="preserve">Capital Expenditures - Median</t>
  </si>
  <si>
    <t xml:space="preserve">Constant Currency Revenue Growth (%)</t>
  </si>
  <si>
    <t xml:space="preserve">Employee Attrition Rate (%) - Median</t>
  </si>
  <si>
    <t xml:space="preserve">Employee Utilization Rate (%) - Median</t>
  </si>
  <si>
    <t xml:space="preserve">Goodwill - Median</t>
  </si>
  <si>
    <t xml:space="preserve">Gross Margin (%) - Median</t>
  </si>
  <si>
    <t xml:space="preserve">IT Services Revenue</t>
  </si>
  <si>
    <t xml:space="preserve">Net Employee Additions - Median</t>
  </si>
  <si>
    <t xml:space="preserve">Operating Margin - Adjusted (%) - Median</t>
  </si>
  <si>
    <t xml:space="preserve">Personnel Expenses - Median</t>
  </si>
  <si>
    <t xml:space="preserve">Revenue per Employee - Median</t>
  </si>
  <si>
    <t xml:space="preserve">Total Employees - Median</t>
  </si>
  <si>
    <t xml:space="preserve">requested</t>
  </si>
  <si>
    <t xml:space="preserve">TCS IN Equity</t>
  </si>
  <si>
    <t xml:space="preserve">INFO IN Equity</t>
  </si>
  <si>
    <t xml:space="preserve">HCLT IN Equity</t>
  </si>
  <si>
    <t xml:space="preserve">LTIM IN Equity</t>
  </si>
  <si>
    <t xml:space="preserve">TECHM IN Equity</t>
  </si>
  <si>
    <t xml:space="preserve">MPHL IN Equity</t>
  </si>
  <si>
    <t xml:space="preserve">018260 KS Equity</t>
  </si>
  <si>
    <t xml:space="preserve">4307 JP Equity</t>
  </si>
  <si>
    <t xml:space="preserve">9613 JP Equity</t>
  </si>
  <si>
    <t xml:space="preserve">ACN US Equity</t>
  </si>
  <si>
    <t xml:space="preserve">CACI US Equity</t>
  </si>
  <si>
    <t xml:space="preserve">CAP FP Equity</t>
  </si>
  <si>
    <t xml:space="preserve">CCC LN Equity</t>
  </si>
  <si>
    <t xml:space="preserve">CDW US Equity</t>
  </si>
  <si>
    <t xml:space="preserve">CNXC US Equity</t>
  </si>
  <si>
    <t xml:space="preserve">CTSH US Equity</t>
  </si>
  <si>
    <t xml:space="preserve">DXC US Equity</t>
  </si>
  <si>
    <t xml:space="preserve">EPAM US Equity</t>
  </si>
  <si>
    <t xml:space="preserve">G US Equity</t>
  </si>
  <si>
    <t xml:space="preserve">GLOB US Equity</t>
  </si>
  <si>
    <t xml:space="preserve">IBM US Equity</t>
  </si>
  <si>
    <t xml:space="preserve">KD US Equity</t>
  </si>
  <si>
    <t xml:space="preserve">SAIC US Equity</t>
  </si>
  <si>
    <t xml:space="preserve">TEP FP Equity</t>
  </si>
  <si>
    <t xml:space="preserve">version</t>
  </si>
  <si>
    <t xml:space="preserve">date</t>
  </si>
  <si>
    <t xml:space="preserve">author</t>
  </si>
  <si>
    <t xml:space="preserve">change</t>
  </si>
  <si>
    <t xml:space="preserve">v0.0</t>
  </si>
  <si>
    <t xml:space="preserve">(pull date — fill in)</t>
  </si>
  <si>
    <t xml:space="preserve">Team J</t>
  </si>
  <si>
    <t xml:space="preserve">Raw Bloomberg exports saved (26 files) — raw/bloomberg_v0, SHA-256 in raw/MANIFEST.csv</t>
  </si>
  <si>
    <t xml:space="preserve">v1.0</t>
  </si>
  <si>
    <t xml:space="preserve">James Mathew</t>
  </si>
  <si>
    <t xml:space="preserve">Bloomberg audit; Wipro quarterly panel Q1 FY20–Q2 FY27 (30 quarters) from company datasheets; peer rows; 16 margin-walk records; 4 policy events; DQ log; coverage check</t>
  </si>
  <si>
    <t xml:space="preserve">v1.1</t>
  </si>
  <si>
    <t xml:space="preserve">Peer panel rebuilt from company fact sheets, investor releases and SEC/NSE/BSE filings (sources S42–S64): Infosys 20, TCS 19, HCLTech 9, LTIMindtree 11, Tech Mahindra 9 quarters. MW01 bps-per-point now computable. Bloomberg no longer on the critical path.</t>
  </si>
  <si>
    <t xml:space="preserve">v1.2</t>
  </si>
  <si>
    <t xml:space="preserve">Wipro back-filled to Q1 FY15 (50 quarters); Infosys to Q4 FY19; LTIMindtree and Tech Mahindra extended with utilisation; Wage_Hikes, FX_USDINR and TCS_Commentary sheets; panel columns for wage-hike quarter, USD/INR and one-offs; 12 more margin walks (MW03 dated to Q2 FY21); sources S65–S107.</t>
  </si>
  <si>
    <t xml:space="preserve">v1.3</t>
  </si>
  <si>
    <t xml:space="preserve">TCS attrition completed for all 19 quarters from company fact sheets and call transcripts (sources S108–S120); note on TCS switching to 'voluntary LTM' attrition from Q2 FY26.</t>
  </si>
  <si>
    <t xml:space="preserve">v1.4 (planned)</t>
  </si>
  <si>
    <t xml:space="preserve">Infosys Q2 FY27 when published; Wipro Q3 FY27 (first post-policy quarter, ~Jan 2027); earlier wage-hike cycles</t>
  </si>
</sst>
</file>

<file path=xl/styles.xml><?xml version="1.0" encoding="utf-8"?>
<styleSheet xmlns="http://schemas.openxmlformats.org/spreadsheetml/2006/main">
  <numFmts count="8">
    <numFmt numFmtId="164" formatCode="General"/>
    <numFmt numFmtId="165" formatCode="0.0\%"/>
    <numFmt numFmtId="166" formatCode="#,##0"/>
    <numFmt numFmtId="167" formatCode="0.0"/>
    <numFmt numFmtId="168" formatCode="0.00"/>
    <numFmt numFmtId="169" formatCode="General"/>
    <numFmt numFmtId="170" formatCode="0%"/>
    <numFmt numFmtId="171"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b val="true"/>
      <sz val="11"/>
      <name val="Arial"/>
      <family val="0"/>
      <charset val="1"/>
    </font>
    <font>
      <b val="true"/>
      <sz val="11"/>
      <color rgb="FFFFFFFF"/>
      <name val="Arial"/>
      <family val="0"/>
      <charset val="1"/>
    </font>
    <font>
      <sz val="10"/>
      <color rgb="FF00000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8" fontId="5" fillId="0" borderId="0" xfId="0" applyFont="true" applyBorder="false" applyAlignment="true" applyProtection="false">
      <alignment horizontal="general" vertical="top"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71" fontId="5" fillId="0" borderId="0" xfId="0" applyFont="true" applyBorder="false" applyAlignment="true" applyProtection="false">
      <alignment horizontal="general" vertical="top"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ables/table1.xml><?xml version="1.0" encoding="utf-8"?>
<table xmlns="http://schemas.openxmlformats.org/spreadsheetml/2006/main" id="1" name="BBG_KPIC_Request" displayName="BBG_KPIC_Request" ref="A3:M28" headerRowCount="1" totalsRowCount="0" totalsRowShown="0">
  <autoFilter ref="A3:M28"/>
  <tableColumns count="13">
    <tableColumn id="1" name="entity"/>
    <tableColumn id="2" name="Capital Expenditures - Median"/>
    <tableColumn id="3" name="Constant Currency Revenue Growth (%)"/>
    <tableColumn id="4" name="Employee Attrition Rate (%) - Median"/>
    <tableColumn id="5" name="Employee Utilization Rate (%) - Median"/>
    <tableColumn id="6" name="Goodwill - Median"/>
    <tableColumn id="7" name="Gross Margin (%) - Median"/>
    <tableColumn id="8" name="IT Services Revenue"/>
    <tableColumn id="9" name="Net Employee Additions - Median"/>
    <tableColumn id="10" name="Operating Margin - Adjusted (%) - Median"/>
    <tableColumn id="11" name="Personnel Expenses - Median"/>
    <tableColumn id="12" name="Revenue per Employee - Median"/>
    <tableColumn id="13" name="Total Employees - Median"/>
  </tableColumns>
</table>
</file>

<file path=xl/tables/table2.xml><?xml version="1.0" encoding="utf-8"?>
<table xmlns="http://schemas.openxmlformats.org/spreadsheetml/2006/main" id="2" name="Bloomberg_File_Audit" displayName="Bloomberg_File_Audit" ref="A1:I27" headerRowCount="1" totalsRowCount="0" totalsRowShown="0">
  <autoFilter ref="A1:I27"/>
  <tableColumns count="9">
    <tableColumn id="1" name="file"/>
    <tableColumn id="2" name="bloomberg_page"/>
    <tableColumn id="3" name="cells_requested"/>
    <tableColumn id="4" name="values_cached"/>
    <tableColumn id="5" name="not_cached"/>
    <tableColumn id="6" name="pct_populated"/>
    <tableColumn id="7" name="estimate_cells"/>
    <tableColumn id="8" name="n_periods"/>
    <tableColumn id="9" name="relevance"/>
  </tableColumns>
</table>
</file>

<file path=xl/tables/table3.xml><?xml version="1.0" encoding="utf-8"?>
<table xmlns="http://schemas.openxmlformats.org/spreadsheetml/2006/main" id="3" name="Bloomberg_Values" displayName="Bloomberg_Values" ref="A3:I262" headerRowCount="1" totalsRowCount="0" totalsRowShown="0">
  <autoFilter ref="A3:I262"/>
  <tableColumns count="9">
    <tableColumn id="1" name="file"/>
    <tableColumn id="2" name="page"/>
    <tableColumn id="3" name="section"/>
    <tableColumn id="4" name="row_label"/>
    <tableColumn id="5" name="mnemonic"/>
    <tableColumn id="6" name="period"/>
    <tableColumn id="7" name="period_end"/>
    <tableColumn id="8" name="is_estimate"/>
    <tableColumn id="9" name="value"/>
  </tableColumns>
</table>
</file>

<file path=xl/tables/table4.xml><?xml version="1.0" encoding="utf-8"?>
<table xmlns="http://schemas.openxmlformats.org/spreadsheetml/2006/main" id="4" name="Changelog" displayName="Changelog" ref="A1:D7" headerRowCount="1" totalsRowCount="0" totalsRowShown="0">
  <autoFilter ref="A1:D7"/>
  <tableColumns count="4">
    <tableColumn id="1" name="version"/>
    <tableColumn id="2" name="date"/>
    <tableColumn id="3" name="author"/>
    <tableColumn id="4" name="change"/>
  </tableColumns>
</table>
</file>

<file path=xl/tables/table5.xml><?xml version="1.0" encoding="utf-8"?>
<table xmlns="http://schemas.openxmlformats.org/spreadsheetml/2006/main" id="5" name="Data_Quality_Log" displayName="Data_Quality_Log" ref="A1:H20" headerRowCount="1" totalsRowCount="0" totalsRowShown="0">
  <autoFilter ref="A1:H20"/>
  <tableColumns count="8">
    <tableColumn id="1" name="issue_id"/>
    <tableColumn id="2" name="severity"/>
    <tableColumn id="3" name="area"/>
    <tableColumn id="4" name="finding"/>
    <tableColumn id="5" name="affects"/>
    <tableColumn id="6" name="action"/>
    <tableColumn id="7" name="owner"/>
    <tableColumn id="8" name="status"/>
  </tableColumns>
</table>
</file>

<file path=xl/tables/table6.xml><?xml version="1.0" encoding="utf-8"?>
<table xmlns="http://schemas.openxmlformats.org/spreadsheetml/2006/main" id="6" name="FX_USDINR" displayName="FX_USDINR" ref="A3:C156" headerRowCount="1" totalsRowCount="0" totalsRowShown="0">
  <autoFilter ref="A3:C156"/>
  <tableColumns count="3">
    <tableColumn id="1" name="month"/>
    <tableColumn id="2" name="usd_inr_monthly_avg"/>
    <tableColumn id="3" name="fiscal_quarter"/>
  </tableColumns>
</table>
</file>

<file path=xl/tables/table7.xml><?xml version="1.0" encoding="utf-8"?>
<table xmlns="http://schemas.openxmlformats.org/spreadsheetml/2006/main" id="7" name="Harmonisation" displayName="Harmonisation" ref="A1:K10" headerRowCount="1" totalsRowCount="0" totalsRowShown="0">
  <autoFilter ref="A1:K10"/>
  <tableColumns count="11">
    <tableColumn id="1" name="canonical_variable"/>
    <tableColumn id="2" name="definition"/>
    <tableColumn id="3" name="unit"/>
    <tableColumn id="4" name="Wipro label"/>
    <tableColumn id="5" name="Infosys label"/>
    <tableColumn id="6" name="TCS label"/>
    <tableColumn id="7" name="HCLTech label"/>
    <tableColumn id="8" name="LTIMindtree label"/>
    <tableColumn id="9" name="Tech Mahindra label"/>
    <tableColumn id="10" name="Bloomberg mnemonic"/>
    <tableColumn id="11" name="harmonisation rule / caveat"/>
  </tableColumns>
</table>
</file>

<file path=xl/tables/table8.xml><?xml version="1.0" encoding="utf-8"?>
<table xmlns="http://schemas.openxmlformats.org/spreadsheetml/2006/main" id="8" name="Margin_Walks" displayName="Margin_Walks" ref="A1:M30" headerRowCount="1" totalsRowCount="0" totalsRowShown="0">
  <autoFilter ref="A1:M30"/>
  <tableColumns count="13">
    <tableColumn id="1" name="walk_id"/>
    <tableColumn id="2" name="firm"/>
    <tableColumn id="3" name="quarter"/>
    <tableColumn id="4" name="total_margin_change_bps"/>
    <tableColumn id="5" name="util_attributed_bps"/>
    <tableColumn id="6" name="tier"/>
    <tableColumn id="7" name="util_level_after_pct"/>
    <tableColumn id="8" name="util_change_pts"/>
    <tableColumn id="9" name="bps_per_util_point"/>
    <tableColumn id="10" name="driver_wording (quoted)"/>
    <tableColumn id="11" name="speaker"/>
    <tableColumn id="12" name="source_id"/>
    <tableColumn id="13" name="note"/>
  </tableColumns>
</table>
</file>

<file path=xl/tables/table9.xml><?xml version="1.0" encoding="utf-8"?>
<table xmlns="http://schemas.openxmlformats.org/spreadsheetml/2006/main" id="9" name="Policy_Events" displayName="Policy_Events" ref="A1:H5" headerRowCount="1" totalsRowCount="0" totalsRowShown="0">
  <autoFilter ref="A1:H5"/>
  <tableColumns count="8">
    <tableColumn id="1" name="event_id"/>
    <tableColumn id="2" name="firm"/>
    <tableColumn id="3" name="policy / event"/>
    <tableColumn id="4" name="effective_date"/>
    <tableColumn id="5" name="first_affected_quarter"/>
    <tableColumn id="6" name="source_id"/>
    <tableColumn id="7" name="analysis_use"/>
    <tableColumn id="8" name="verification"/>
  </tableColumns>
</table>
</file>

<file path=xl/tables/table10.xml><?xml version="1.0" encoding="utf-8"?>
<table xmlns="http://schemas.openxmlformats.org/spreadsheetml/2006/main" id="10" name="Quarterly_Panel" displayName="Quarterly_Panel" ref="A1:S135" headerRowCount="1" totalsRowCount="0" totalsRowShown="0">
  <autoFilter ref="A1:S135"/>
  <tableColumns count="19">
    <tableColumn id="1" name="firm"/>
    <tableColumn id="2" name="fiscal_quarter"/>
    <tableColumn id="3" name="quarter_end"/>
    <tableColumn id="4" name="op_margin_pct"/>
    <tableColumn id="5" name="margin_basis"/>
    <tableColumn id="6" name="util_excl_trainees_pct"/>
    <tableColumn id="7" name="util_gross_or_incl_trainees_pct"/>
    <tableColumn id="8" name="headcount"/>
    <tableColumn id="9" name="vol_attrition_ttm_pct"/>
    <tableColumn id="10" name="it_rev_usd_mn"/>
    <tableColumn id="11" name="cc_qoq_pct"/>
    <tableColumn id="12" name="source_id"/>
    <tableColumn id="13" name="source_type"/>
    <tableColumn id="14" name="note"/>
    <tableColumn id="15" name="qoq_margin_bps"/>
    <tableColumn id="16" name="qoq_util_pts"/>
    <tableColumn id="17" name="wage_hike_qtr"/>
    <tableColumn id="18" name="usd_inr_qavg"/>
    <tableColumn id="19" name="one_off_flag"/>
  </tableColumns>
</table>
</file>

<file path=xl/tables/table11.xml><?xml version="1.0" encoding="utf-8"?>
<table xmlns="http://schemas.openxmlformats.org/spreadsheetml/2006/main" id="11" name="Source_Log" displayName="Source_Log" ref="A1:J121" headerRowCount="1" totalsRowCount="0" totalsRowShown="0">
  <autoFilter ref="A1:J121"/>
  <tableColumns count="10">
    <tableColumn id="1" name="source_id"/>
    <tableColumn id="2" name="publisher"/>
    <tableColumn id="3" name="document"/>
    <tableColumn id="4" name="url"/>
    <tableColumn id="5" name="periods_covered"/>
    <tableColumn id="6" name="source_type"/>
    <tableColumn id="7" name="licence_terms"/>
    <tableColumn id="8" name="used_for"/>
    <tableColumn id="9" name="verification_note"/>
    <tableColumn id="10" name="date_accessed"/>
  </tableColumns>
</table>
</file>

<file path=xl/tables/table12.xml><?xml version="1.0" encoding="utf-8"?>
<table xmlns="http://schemas.openxmlformats.org/spreadsheetml/2006/main" id="12" name="TCS_Commentary" displayName="TCS_Commentary" ref="A3:H15" headerRowCount="1" totalsRowCount="0" totalsRowShown="0">
  <autoFilter ref="A3:H15"/>
  <tableColumns count="8">
    <tableColumn id="1" name="quarter"/>
    <tableColumn id="2" name="call_date"/>
    <tableColumn id="3" name="topic"/>
    <tableColumn id="4" name="statement (quoted)"/>
    <tableColumn id="5" name="speaker"/>
    <tableColumn id="6" name="source_id"/>
    <tableColumn id="7" name="coded_direction"/>
    <tableColumn id="8" name="policy_period"/>
  </tableColumns>
</table>
</file>

<file path=xl/tables/table13.xml><?xml version="1.0" encoding="utf-8"?>
<table xmlns="http://schemas.openxmlformats.org/spreadsheetml/2006/main" id="13" name="Wage_Hikes" displayName="Wage_Hikes" ref="A3:G20" headerRowCount="1" totalsRowCount="0" totalsRowShown="0">
  <autoFilter ref="A3:G20"/>
  <tableColumns count="7">
    <tableColumn id="1" name="firm"/>
    <tableColumn id="2" name="hike_cycle"/>
    <tableColumn id="3" name="effective_date"/>
    <tableColumn id="4" name="first_quarter_of_impact"/>
    <tableColumn id="5" name="scope"/>
    <tableColumn id="6" name="source_id"/>
    <tableColumn id="7" name="no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1.xml"/>
</Relationships>
</file>

<file path=xl/worksheets/_rels/sheet3.xml.rels><?xml version="1.0" encoding="UTF-8"?>
<Relationships xmlns="http://schemas.openxmlformats.org/package/2006/relationships"><Relationship Id="rId1" Type="http://schemas.openxmlformats.org/officeDocument/2006/relationships/table" Target="../tables/table7.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13.xml"/>
</Relationships>
</file>

<file path=xl/worksheets/_rels/sheet6.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12.xml"/>
</Relationships>
</file>

<file path=xl/worksheets/_rels/sheet8.xml.rels><?xml version="1.0" encoding="UTF-8"?>
<Relationships xmlns="http://schemas.openxmlformats.org/package/2006/relationships"><Relationship Id="rId1" Type="http://schemas.openxmlformats.org/officeDocument/2006/relationships/table" Target="../tables/table8.xml"/>
</Relationships>
</file>

<file path=xl/worksheets/_rels/sheet9.xml.rels><?xml version="1.0" encoding="UTF-8"?>
<Relationships xmlns="http://schemas.openxmlformats.org/package/2006/relationships"><Relationship Id="rId1" Type="http://schemas.openxmlformats.org/officeDocument/2006/relationships/table" Target="../tables/table9.xml"/>
</Relationships>
</file>

<file path=xl/worksheets/_rels/sheet11.xml.rels><?xml version="1.0" encoding="UTF-8"?>
<Relationships xmlns="http://schemas.openxmlformats.org/package/2006/relationships"><Relationship Id="rId1" Type="http://schemas.openxmlformats.org/officeDocument/2006/relationships/table" Target="../tables/table5.xml"/>
</Relationships>
</file>

<file path=xl/worksheets/_rels/sheet12.xml.rels><?xml version="1.0" encoding="UTF-8"?>
<Relationships xmlns="http://schemas.openxmlformats.org/package/2006/relationships"><Relationship Id="rId1" Type="http://schemas.openxmlformats.org/officeDocument/2006/relationships/table" Target="../tables/table2.xml"/>
</Relationships>
</file>

<file path=xl/worksheets/_rels/sheet13.xml.rels><?xml version="1.0" encoding="UTF-8"?>
<Relationships xmlns="http://schemas.openxmlformats.org/package/2006/relationships"><Relationship Id="rId1" Type="http://schemas.openxmlformats.org/officeDocument/2006/relationships/table" Target="../tables/table3.xml"/>
</Relationships>
</file>

<file path=xl/worksheets/_rels/sheet14.xml.rels><?xml version="1.0" encoding="UTF-8"?>
<Relationships xmlns="http://schemas.openxmlformats.org/package/2006/relationships"><Relationship Id="rId1" Type="http://schemas.openxmlformats.org/officeDocument/2006/relationships/table" Target="../tables/table1.xml"/>
</Relationships>
</file>

<file path=xl/worksheets/_rels/sheet15.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row>
    <row r="29" customFormat="false" ht="15" hidden="false" customHeight="false" outlineLevel="0" collapsed="false">
      <c r="A29" s="3" t="s">
        <v>24</v>
      </c>
    </row>
    <row r="30" customFormat="false" ht="15" hidden="false" customHeight="false" outlineLevel="0" collapsed="false">
      <c r="A30" s="2" t="s">
        <v>25</v>
      </c>
    </row>
    <row r="31" customFormat="false" ht="15" hidden="false" customHeight="false" outlineLevel="0" collapsed="false">
      <c r="A31"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40"/>
    <col collapsed="false" customWidth="true" hidden="false" outlineLevel="0" max="4" min="4" style="0" width="50"/>
    <col collapsed="false" customWidth="true" hidden="false" outlineLevel="0" max="6" min="5" style="0" width="20"/>
    <col collapsed="false" customWidth="true" hidden="false" outlineLevel="0" max="8" min="7" style="0" width="30"/>
    <col collapsed="false" customWidth="true" hidden="false" outlineLevel="0" max="9" min="9" style="0" width="40"/>
    <col collapsed="false" customWidth="true" hidden="false" outlineLevel="0" max="10" min="10" style="0" width="12"/>
  </cols>
  <sheetData>
    <row r="1" customFormat="false" ht="23.85" hidden="false" customHeight="false" outlineLevel="0" collapsed="false">
      <c r="A1" s="4" t="s">
        <v>27</v>
      </c>
      <c r="B1" s="4" t="s">
        <v>28</v>
      </c>
      <c r="C1" s="4" t="s">
        <v>29</v>
      </c>
      <c r="D1" s="4" t="s">
        <v>30</v>
      </c>
      <c r="E1" s="4" t="s">
        <v>31</v>
      </c>
      <c r="F1" s="4" t="s">
        <v>32</v>
      </c>
      <c r="G1" s="4" t="s">
        <v>33</v>
      </c>
      <c r="H1" s="4" t="s">
        <v>34</v>
      </c>
      <c r="I1" s="4" t="s">
        <v>35</v>
      </c>
      <c r="J1" s="4" t="s">
        <v>36</v>
      </c>
    </row>
    <row r="2" customFormat="false" ht="35.05" hidden="false" customHeight="false" outlineLevel="0" collapsed="false">
      <c r="A2" s="5" t="s">
        <v>37</v>
      </c>
      <c r="B2" s="5" t="s">
        <v>38</v>
      </c>
      <c r="C2" s="6" t="s">
        <v>39</v>
      </c>
      <c r="D2" s="5" t="s">
        <v>40</v>
      </c>
      <c r="E2" s="6" t="s">
        <v>41</v>
      </c>
      <c r="F2" s="5" t="s">
        <v>42</v>
      </c>
      <c r="G2" s="6" t="s">
        <v>43</v>
      </c>
      <c r="H2" s="6" t="s">
        <v>44</v>
      </c>
      <c r="I2" s="6" t="s">
        <v>45</v>
      </c>
      <c r="J2" s="5" t="s">
        <v>46</v>
      </c>
    </row>
    <row r="3" customFormat="false" ht="23.85" hidden="false" customHeight="false" outlineLevel="0" collapsed="false">
      <c r="A3" s="5" t="s">
        <v>47</v>
      </c>
      <c r="B3" s="5" t="s">
        <v>48</v>
      </c>
      <c r="C3" s="5" t="s">
        <v>49</v>
      </c>
      <c r="D3" s="6" t="s">
        <v>50</v>
      </c>
      <c r="E3" s="5" t="s">
        <v>51</v>
      </c>
      <c r="F3" s="5" t="s">
        <v>52</v>
      </c>
      <c r="G3" s="5" t="s">
        <v>53</v>
      </c>
      <c r="H3" s="5" t="s">
        <v>54</v>
      </c>
      <c r="I3" s="6" t="s">
        <v>55</v>
      </c>
      <c r="J3" s="5" t="s">
        <v>46</v>
      </c>
    </row>
    <row r="4" customFormat="false" ht="23.85" hidden="false" customHeight="false" outlineLevel="0" collapsed="false">
      <c r="A4" s="5" t="s">
        <v>56</v>
      </c>
      <c r="B4" s="5" t="s">
        <v>48</v>
      </c>
      <c r="C4" s="5" t="s">
        <v>57</v>
      </c>
      <c r="D4" s="6" t="s">
        <v>58</v>
      </c>
      <c r="E4" s="5" t="s">
        <v>59</v>
      </c>
      <c r="F4" s="5" t="s">
        <v>52</v>
      </c>
      <c r="G4" s="5" t="s">
        <v>53</v>
      </c>
      <c r="H4" s="5" t="s">
        <v>60</v>
      </c>
      <c r="I4" s="5"/>
      <c r="J4" s="5" t="s">
        <v>46</v>
      </c>
    </row>
    <row r="5" customFormat="false" ht="23.85" hidden="false" customHeight="false" outlineLevel="0" collapsed="false">
      <c r="A5" s="5" t="s">
        <v>61</v>
      </c>
      <c r="B5" s="5" t="s">
        <v>48</v>
      </c>
      <c r="C5" s="5" t="s">
        <v>62</v>
      </c>
      <c r="D5" s="6" t="s">
        <v>63</v>
      </c>
      <c r="E5" s="5" t="s">
        <v>64</v>
      </c>
      <c r="F5" s="5" t="s">
        <v>52</v>
      </c>
      <c r="G5" s="5" t="s">
        <v>53</v>
      </c>
      <c r="H5" s="6" t="s">
        <v>65</v>
      </c>
      <c r="I5" s="5" t="s">
        <v>66</v>
      </c>
      <c r="J5" s="5" t="s">
        <v>46</v>
      </c>
    </row>
    <row r="6" customFormat="false" ht="23.85" hidden="false" customHeight="false" outlineLevel="0" collapsed="false">
      <c r="A6" s="5" t="s">
        <v>67</v>
      </c>
      <c r="B6" s="5" t="s">
        <v>48</v>
      </c>
      <c r="C6" s="5" t="s">
        <v>68</v>
      </c>
      <c r="D6" s="6" t="s">
        <v>69</v>
      </c>
      <c r="E6" s="5" t="s">
        <v>70</v>
      </c>
      <c r="F6" s="5" t="s">
        <v>52</v>
      </c>
      <c r="G6" s="5" t="s">
        <v>53</v>
      </c>
      <c r="H6" s="5" t="s">
        <v>60</v>
      </c>
      <c r="I6" s="5"/>
      <c r="J6" s="5" t="s">
        <v>46</v>
      </c>
    </row>
    <row r="7" customFormat="false" ht="35.05" hidden="false" customHeight="false" outlineLevel="0" collapsed="false">
      <c r="A7" s="5" t="s">
        <v>71</v>
      </c>
      <c r="B7" s="5" t="s">
        <v>48</v>
      </c>
      <c r="C7" s="5" t="s">
        <v>72</v>
      </c>
      <c r="D7" s="6" t="s">
        <v>73</v>
      </c>
      <c r="E7" s="5" t="s">
        <v>74</v>
      </c>
      <c r="F7" s="5" t="s">
        <v>52</v>
      </c>
      <c r="G7" s="5" t="s">
        <v>53</v>
      </c>
      <c r="H7" s="5" t="s">
        <v>75</v>
      </c>
      <c r="I7" s="5"/>
      <c r="J7" s="5" t="s">
        <v>46</v>
      </c>
    </row>
    <row r="8" customFormat="false" ht="35.05" hidden="false" customHeight="false" outlineLevel="0" collapsed="false">
      <c r="A8" s="5" t="s">
        <v>76</v>
      </c>
      <c r="B8" s="5" t="s">
        <v>48</v>
      </c>
      <c r="C8" s="5" t="s">
        <v>77</v>
      </c>
      <c r="D8" s="6" t="s">
        <v>78</v>
      </c>
      <c r="E8" s="5" t="s">
        <v>79</v>
      </c>
      <c r="F8" s="5" t="s">
        <v>52</v>
      </c>
      <c r="G8" s="5" t="s">
        <v>53</v>
      </c>
      <c r="H8" s="5" t="s">
        <v>80</v>
      </c>
      <c r="I8" s="5"/>
      <c r="J8" s="5" t="s">
        <v>46</v>
      </c>
    </row>
    <row r="9" customFormat="false" ht="35.05" hidden="false" customHeight="false" outlineLevel="0" collapsed="false">
      <c r="A9" s="5" t="s">
        <v>81</v>
      </c>
      <c r="B9" s="5" t="s">
        <v>48</v>
      </c>
      <c r="C9" s="5" t="s">
        <v>82</v>
      </c>
      <c r="D9" s="6" t="s">
        <v>83</v>
      </c>
      <c r="E9" s="5" t="s">
        <v>84</v>
      </c>
      <c r="F9" s="5" t="s">
        <v>52</v>
      </c>
      <c r="G9" s="5" t="s">
        <v>53</v>
      </c>
      <c r="H9" s="5" t="s">
        <v>60</v>
      </c>
      <c r="I9" s="5"/>
      <c r="J9" s="5" t="s">
        <v>46</v>
      </c>
    </row>
    <row r="10" customFormat="false" ht="23.85" hidden="false" customHeight="false" outlineLevel="0" collapsed="false">
      <c r="A10" s="5" t="s">
        <v>85</v>
      </c>
      <c r="B10" s="5" t="s">
        <v>48</v>
      </c>
      <c r="C10" s="6" t="s">
        <v>86</v>
      </c>
      <c r="D10" s="6" t="s">
        <v>87</v>
      </c>
      <c r="E10" s="5" t="s">
        <v>88</v>
      </c>
      <c r="F10" s="5" t="s">
        <v>89</v>
      </c>
      <c r="G10" s="5" t="s">
        <v>90</v>
      </c>
      <c r="H10" s="6" t="s">
        <v>91</v>
      </c>
      <c r="I10" s="5"/>
      <c r="J10" s="5" t="s">
        <v>46</v>
      </c>
    </row>
    <row r="11" customFormat="false" ht="35.05" hidden="false" customHeight="false" outlineLevel="0" collapsed="false">
      <c r="A11" s="5" t="s">
        <v>92</v>
      </c>
      <c r="B11" s="5" t="s">
        <v>93</v>
      </c>
      <c r="C11" s="5" t="s">
        <v>94</v>
      </c>
      <c r="D11" s="6" t="s">
        <v>95</v>
      </c>
      <c r="E11" s="5" t="s">
        <v>51</v>
      </c>
      <c r="F11" s="5" t="s">
        <v>52</v>
      </c>
      <c r="G11" s="5" t="s">
        <v>53</v>
      </c>
      <c r="H11" s="5" t="s">
        <v>96</v>
      </c>
      <c r="I11" s="5" t="s">
        <v>97</v>
      </c>
      <c r="J11" s="5" t="s">
        <v>46</v>
      </c>
    </row>
    <row r="12" customFormat="false" ht="23.85" hidden="false" customHeight="false" outlineLevel="0" collapsed="false">
      <c r="A12" s="5" t="s">
        <v>98</v>
      </c>
      <c r="B12" s="5" t="s">
        <v>99</v>
      </c>
      <c r="C12" s="5" t="s">
        <v>100</v>
      </c>
      <c r="D12" s="6" t="s">
        <v>101</v>
      </c>
      <c r="E12" s="5" t="s">
        <v>102</v>
      </c>
      <c r="F12" s="5" t="s">
        <v>52</v>
      </c>
      <c r="G12" s="5" t="s">
        <v>53</v>
      </c>
      <c r="H12" s="5" t="s">
        <v>103</v>
      </c>
      <c r="I12" s="5" t="s">
        <v>97</v>
      </c>
      <c r="J12" s="5" t="s">
        <v>46</v>
      </c>
    </row>
    <row r="13" customFormat="false" ht="23.85" hidden="false" customHeight="false" outlineLevel="0" collapsed="false">
      <c r="A13" s="5" t="s">
        <v>104</v>
      </c>
      <c r="B13" s="5" t="s">
        <v>105</v>
      </c>
      <c r="C13" s="5" t="s">
        <v>106</v>
      </c>
      <c r="D13" s="6" t="s">
        <v>107</v>
      </c>
      <c r="E13" s="5" t="s">
        <v>108</v>
      </c>
      <c r="F13" s="5" t="s">
        <v>52</v>
      </c>
      <c r="G13" s="5" t="s">
        <v>53</v>
      </c>
      <c r="H13" s="5" t="s">
        <v>109</v>
      </c>
      <c r="I13" s="6" t="s">
        <v>110</v>
      </c>
      <c r="J13" s="5" t="s">
        <v>46</v>
      </c>
    </row>
    <row r="14" customFormat="false" ht="23.85" hidden="false" customHeight="false" outlineLevel="0" collapsed="false">
      <c r="A14" s="5" t="s">
        <v>111</v>
      </c>
      <c r="B14" s="5" t="s">
        <v>105</v>
      </c>
      <c r="C14" s="5" t="s">
        <v>112</v>
      </c>
      <c r="D14" s="6" t="s">
        <v>113</v>
      </c>
      <c r="E14" s="5" t="s">
        <v>114</v>
      </c>
      <c r="F14" s="5" t="s">
        <v>52</v>
      </c>
      <c r="G14" s="5" t="s">
        <v>53</v>
      </c>
      <c r="H14" s="5" t="s">
        <v>109</v>
      </c>
      <c r="I14" s="5" t="s">
        <v>115</v>
      </c>
      <c r="J14" s="5" t="s">
        <v>46</v>
      </c>
    </row>
    <row r="15" customFormat="false" ht="23.85" hidden="false" customHeight="false" outlineLevel="0" collapsed="false">
      <c r="A15" s="5" t="s">
        <v>116</v>
      </c>
      <c r="B15" s="5" t="s">
        <v>117</v>
      </c>
      <c r="C15" s="6" t="s">
        <v>118</v>
      </c>
      <c r="D15" s="6" t="s">
        <v>119</v>
      </c>
      <c r="E15" s="5" t="s">
        <v>120</v>
      </c>
      <c r="F15" s="5" t="s">
        <v>121</v>
      </c>
      <c r="G15" s="5" t="s">
        <v>122</v>
      </c>
      <c r="H15" s="5" t="s">
        <v>123</v>
      </c>
      <c r="I15" s="6" t="s">
        <v>124</v>
      </c>
      <c r="J15" s="5" t="s">
        <v>46</v>
      </c>
    </row>
    <row r="16" customFormat="false" ht="23.85" hidden="false" customHeight="false" outlineLevel="0" collapsed="false">
      <c r="A16" s="5" t="s">
        <v>125</v>
      </c>
      <c r="B16" s="5" t="s">
        <v>105</v>
      </c>
      <c r="C16" s="5" t="s">
        <v>126</v>
      </c>
      <c r="D16" s="6" t="s">
        <v>127</v>
      </c>
      <c r="E16" s="5" t="s">
        <v>128</v>
      </c>
      <c r="F16" s="5" t="s">
        <v>129</v>
      </c>
      <c r="G16" s="5" t="s">
        <v>122</v>
      </c>
      <c r="H16" s="5" t="s">
        <v>123</v>
      </c>
      <c r="I16" s="5"/>
      <c r="J16" s="5" t="s">
        <v>46</v>
      </c>
    </row>
    <row r="17" customFormat="false" ht="35.05" hidden="false" customHeight="false" outlineLevel="0" collapsed="false">
      <c r="A17" s="5" t="s">
        <v>130</v>
      </c>
      <c r="B17" s="5" t="s">
        <v>105</v>
      </c>
      <c r="C17" s="6" t="s">
        <v>131</v>
      </c>
      <c r="D17" s="6" t="s">
        <v>132</v>
      </c>
      <c r="E17" s="5" t="s">
        <v>133</v>
      </c>
      <c r="F17" s="5" t="s">
        <v>129</v>
      </c>
      <c r="G17" s="5" t="s">
        <v>122</v>
      </c>
      <c r="H17" s="5" t="s">
        <v>134</v>
      </c>
      <c r="I17" s="6" t="s">
        <v>135</v>
      </c>
      <c r="J17" s="5" t="s">
        <v>46</v>
      </c>
    </row>
    <row r="18" customFormat="false" ht="23.85" hidden="false" customHeight="false" outlineLevel="0" collapsed="false">
      <c r="A18" s="5" t="s">
        <v>136</v>
      </c>
      <c r="B18" s="5" t="s">
        <v>105</v>
      </c>
      <c r="C18" s="5" t="s">
        <v>137</v>
      </c>
      <c r="D18" s="6" t="s">
        <v>138</v>
      </c>
      <c r="E18" s="5" t="s">
        <v>79</v>
      </c>
      <c r="F18" s="5" t="s">
        <v>129</v>
      </c>
      <c r="G18" s="5" t="s">
        <v>122</v>
      </c>
      <c r="H18" s="5" t="s">
        <v>139</v>
      </c>
      <c r="I18" s="5"/>
      <c r="J18" s="5" t="s">
        <v>46</v>
      </c>
    </row>
    <row r="19" customFormat="false" ht="23.85" hidden="false" customHeight="false" outlineLevel="0" collapsed="false">
      <c r="A19" s="5" t="s">
        <v>140</v>
      </c>
      <c r="B19" s="5" t="s">
        <v>105</v>
      </c>
      <c r="C19" s="5" t="s">
        <v>141</v>
      </c>
      <c r="D19" s="6" t="s">
        <v>142</v>
      </c>
      <c r="E19" s="5" t="s">
        <v>143</v>
      </c>
      <c r="F19" s="5" t="s">
        <v>129</v>
      </c>
      <c r="G19" s="5" t="s">
        <v>122</v>
      </c>
      <c r="H19" s="5" t="s">
        <v>144</v>
      </c>
      <c r="I19" s="5"/>
      <c r="J19" s="5" t="s">
        <v>46</v>
      </c>
    </row>
    <row r="20" customFormat="false" ht="23.85" hidden="false" customHeight="false" outlineLevel="0" collapsed="false">
      <c r="A20" s="5" t="s">
        <v>145</v>
      </c>
      <c r="B20" s="5" t="s">
        <v>105</v>
      </c>
      <c r="C20" s="5" t="s">
        <v>146</v>
      </c>
      <c r="D20" s="6" t="s">
        <v>147</v>
      </c>
      <c r="E20" s="5" t="s">
        <v>148</v>
      </c>
      <c r="F20" s="5" t="s">
        <v>129</v>
      </c>
      <c r="G20" s="5" t="s">
        <v>122</v>
      </c>
      <c r="H20" s="5" t="s">
        <v>144</v>
      </c>
      <c r="I20" s="5" t="s">
        <v>149</v>
      </c>
      <c r="J20" s="5" t="s">
        <v>46</v>
      </c>
    </row>
    <row r="21" customFormat="false" ht="23.85" hidden="false" customHeight="false" outlineLevel="0" collapsed="false">
      <c r="A21" s="5" t="s">
        <v>150</v>
      </c>
      <c r="B21" s="5" t="s">
        <v>151</v>
      </c>
      <c r="C21" s="6" t="s">
        <v>152</v>
      </c>
      <c r="D21" s="6" t="s">
        <v>153</v>
      </c>
      <c r="E21" s="5" t="s">
        <v>154</v>
      </c>
      <c r="F21" s="5" t="s">
        <v>155</v>
      </c>
      <c r="G21" s="5" t="s">
        <v>156</v>
      </c>
      <c r="H21" s="5" t="s">
        <v>144</v>
      </c>
      <c r="I21" s="5" t="s">
        <v>157</v>
      </c>
      <c r="J21" s="5" t="s">
        <v>46</v>
      </c>
    </row>
    <row r="22" customFormat="false" ht="23.85" hidden="false" customHeight="false" outlineLevel="0" collapsed="false">
      <c r="A22" s="5" t="s">
        <v>158</v>
      </c>
      <c r="B22" s="5" t="s">
        <v>105</v>
      </c>
      <c r="C22" s="5" t="s">
        <v>159</v>
      </c>
      <c r="D22" s="6" t="s">
        <v>160</v>
      </c>
      <c r="E22" s="5" t="s">
        <v>161</v>
      </c>
      <c r="F22" s="5" t="s">
        <v>129</v>
      </c>
      <c r="G22" s="5" t="s">
        <v>122</v>
      </c>
      <c r="H22" s="5" t="s">
        <v>139</v>
      </c>
      <c r="I22" s="5"/>
      <c r="J22" s="5" t="s">
        <v>46</v>
      </c>
    </row>
    <row r="23" customFormat="false" ht="23.85" hidden="false" customHeight="false" outlineLevel="0" collapsed="false">
      <c r="A23" s="5" t="s">
        <v>162</v>
      </c>
      <c r="B23" s="5" t="s">
        <v>151</v>
      </c>
      <c r="C23" s="6" t="s">
        <v>163</v>
      </c>
      <c r="D23" s="6" t="s">
        <v>164</v>
      </c>
      <c r="E23" s="5" t="s">
        <v>165</v>
      </c>
      <c r="F23" s="5" t="s">
        <v>155</v>
      </c>
      <c r="G23" s="5" t="s">
        <v>156</v>
      </c>
      <c r="H23" s="5" t="s">
        <v>139</v>
      </c>
      <c r="I23" s="5"/>
      <c r="J23" s="5" t="s">
        <v>46</v>
      </c>
    </row>
    <row r="24" customFormat="false" ht="46.25" hidden="false" customHeight="false" outlineLevel="0" collapsed="false">
      <c r="A24" s="5" t="s">
        <v>166</v>
      </c>
      <c r="B24" s="5" t="s">
        <v>93</v>
      </c>
      <c r="C24" s="6" t="s">
        <v>167</v>
      </c>
      <c r="D24" s="6" t="s">
        <v>168</v>
      </c>
      <c r="E24" s="5" t="s">
        <v>169</v>
      </c>
      <c r="F24" s="5" t="s">
        <v>129</v>
      </c>
      <c r="G24" s="5" t="s">
        <v>122</v>
      </c>
      <c r="H24" s="5" t="s">
        <v>144</v>
      </c>
      <c r="I24" s="6" t="s">
        <v>170</v>
      </c>
      <c r="J24" s="5" t="s">
        <v>46</v>
      </c>
    </row>
    <row r="25" customFormat="false" ht="23.85" hidden="false" customHeight="false" outlineLevel="0" collapsed="false">
      <c r="A25" s="5" t="s">
        <v>171</v>
      </c>
      <c r="B25" s="5" t="s">
        <v>172</v>
      </c>
      <c r="C25" s="6" t="s">
        <v>173</v>
      </c>
      <c r="D25" s="6" t="s">
        <v>174</v>
      </c>
      <c r="E25" s="5" t="s">
        <v>175</v>
      </c>
      <c r="F25" s="5" t="s">
        <v>176</v>
      </c>
      <c r="G25" s="5" t="s">
        <v>122</v>
      </c>
      <c r="H25" s="5" t="s">
        <v>139</v>
      </c>
      <c r="I25" s="6" t="s">
        <v>177</v>
      </c>
      <c r="J25" s="5" t="s">
        <v>46</v>
      </c>
    </row>
    <row r="26" customFormat="false" ht="23.85" hidden="false" customHeight="false" outlineLevel="0" collapsed="false">
      <c r="A26" s="5" t="s">
        <v>178</v>
      </c>
      <c r="B26" s="5" t="s">
        <v>179</v>
      </c>
      <c r="C26" s="6" t="s">
        <v>180</v>
      </c>
      <c r="D26" s="6" t="s">
        <v>181</v>
      </c>
      <c r="E26" s="5" t="s">
        <v>154</v>
      </c>
      <c r="F26" s="5" t="s">
        <v>182</v>
      </c>
      <c r="G26" s="5" t="s">
        <v>183</v>
      </c>
      <c r="H26" s="5" t="s">
        <v>134</v>
      </c>
      <c r="I26" s="5" t="s">
        <v>184</v>
      </c>
      <c r="J26" s="5" t="s">
        <v>46</v>
      </c>
    </row>
    <row r="27" customFormat="false" ht="23.85" hidden="false" customHeight="false" outlineLevel="0" collapsed="false">
      <c r="A27" s="5" t="s">
        <v>185</v>
      </c>
      <c r="B27" s="5" t="s">
        <v>186</v>
      </c>
      <c r="C27" s="6" t="s">
        <v>187</v>
      </c>
      <c r="D27" s="6" t="s">
        <v>188</v>
      </c>
      <c r="E27" s="5" t="s">
        <v>154</v>
      </c>
      <c r="F27" s="5" t="s">
        <v>189</v>
      </c>
      <c r="G27" s="5" t="s">
        <v>190</v>
      </c>
      <c r="H27" s="5" t="s">
        <v>191</v>
      </c>
      <c r="I27" s="5" t="s">
        <v>192</v>
      </c>
      <c r="J27" s="5" t="s">
        <v>46</v>
      </c>
    </row>
    <row r="28" customFormat="false" ht="23.85" hidden="false" customHeight="false" outlineLevel="0" collapsed="false">
      <c r="A28" s="5" t="s">
        <v>193</v>
      </c>
      <c r="B28" s="5" t="s">
        <v>194</v>
      </c>
      <c r="C28" s="5" t="s">
        <v>195</v>
      </c>
      <c r="D28" s="6" t="s">
        <v>196</v>
      </c>
      <c r="E28" s="5" t="s">
        <v>165</v>
      </c>
      <c r="F28" s="5" t="s">
        <v>197</v>
      </c>
      <c r="G28" s="5" t="s">
        <v>190</v>
      </c>
      <c r="H28" s="5" t="s">
        <v>139</v>
      </c>
      <c r="I28" s="5"/>
      <c r="J28" s="5" t="s">
        <v>46</v>
      </c>
    </row>
    <row r="29" customFormat="false" ht="23.85" hidden="false" customHeight="false" outlineLevel="0" collapsed="false">
      <c r="A29" s="5" t="s">
        <v>198</v>
      </c>
      <c r="B29" s="5" t="s">
        <v>199</v>
      </c>
      <c r="C29" s="6" t="s">
        <v>200</v>
      </c>
      <c r="D29" s="6" t="s">
        <v>201</v>
      </c>
      <c r="E29" s="5" t="s">
        <v>154</v>
      </c>
      <c r="F29" s="5" t="s">
        <v>182</v>
      </c>
      <c r="G29" s="5" t="s">
        <v>183</v>
      </c>
      <c r="H29" s="5" t="s">
        <v>202</v>
      </c>
      <c r="I29" s="6" t="s">
        <v>203</v>
      </c>
      <c r="J29" s="5" t="s">
        <v>46</v>
      </c>
    </row>
    <row r="30" customFormat="false" ht="23.85" hidden="false" customHeight="false" outlineLevel="0" collapsed="false">
      <c r="A30" s="5" t="s">
        <v>204</v>
      </c>
      <c r="B30" s="5" t="s">
        <v>205</v>
      </c>
      <c r="C30" s="5" t="s">
        <v>206</v>
      </c>
      <c r="D30" s="6" t="s">
        <v>207</v>
      </c>
      <c r="E30" s="5" t="s">
        <v>208</v>
      </c>
      <c r="F30" s="5" t="s">
        <v>209</v>
      </c>
      <c r="G30" s="5" t="s">
        <v>190</v>
      </c>
      <c r="H30" s="5" t="s">
        <v>210</v>
      </c>
      <c r="I30" s="6" t="s">
        <v>211</v>
      </c>
      <c r="J30" s="5" t="s">
        <v>46</v>
      </c>
    </row>
    <row r="31" customFormat="false" ht="23.85" hidden="false" customHeight="false" outlineLevel="0" collapsed="false">
      <c r="A31" s="5" t="s">
        <v>212</v>
      </c>
      <c r="B31" s="5" t="s">
        <v>213</v>
      </c>
      <c r="C31" s="5" t="s">
        <v>214</v>
      </c>
      <c r="D31" s="6" t="s">
        <v>215</v>
      </c>
      <c r="E31" s="5" t="s">
        <v>216</v>
      </c>
      <c r="F31" s="5" t="s">
        <v>182</v>
      </c>
      <c r="G31" s="5" t="s">
        <v>183</v>
      </c>
      <c r="H31" s="5" t="s">
        <v>217</v>
      </c>
      <c r="I31" s="6" t="s">
        <v>218</v>
      </c>
      <c r="J31" s="5" t="s">
        <v>46</v>
      </c>
    </row>
    <row r="32" customFormat="false" ht="23.85" hidden="false" customHeight="false" outlineLevel="0" collapsed="false">
      <c r="A32" s="5" t="s">
        <v>219</v>
      </c>
      <c r="B32" s="5" t="s">
        <v>220</v>
      </c>
      <c r="C32" s="5" t="s">
        <v>221</v>
      </c>
      <c r="D32" s="6" t="s">
        <v>222</v>
      </c>
      <c r="E32" s="5" t="s">
        <v>223</v>
      </c>
      <c r="F32" s="5" t="s">
        <v>189</v>
      </c>
      <c r="G32" s="5" t="s">
        <v>190</v>
      </c>
      <c r="H32" s="5" t="s">
        <v>224</v>
      </c>
      <c r="I32" s="5" t="s">
        <v>225</v>
      </c>
      <c r="J32" s="5" t="s">
        <v>46</v>
      </c>
    </row>
    <row r="33" customFormat="false" ht="23.85" hidden="false" customHeight="false" outlineLevel="0" collapsed="false">
      <c r="A33" s="5" t="s">
        <v>226</v>
      </c>
      <c r="B33" s="5" t="s">
        <v>227</v>
      </c>
      <c r="C33" s="6" t="s">
        <v>228</v>
      </c>
      <c r="D33" s="6" t="s">
        <v>229</v>
      </c>
      <c r="E33" s="5" t="s">
        <v>230</v>
      </c>
      <c r="F33" s="5" t="s">
        <v>155</v>
      </c>
      <c r="G33" s="5" t="s">
        <v>156</v>
      </c>
      <c r="H33" s="5" t="s">
        <v>134</v>
      </c>
      <c r="I33" s="6" t="s">
        <v>231</v>
      </c>
      <c r="J33" s="5" t="s">
        <v>46</v>
      </c>
    </row>
    <row r="34" customFormat="false" ht="35.05" hidden="false" customHeight="false" outlineLevel="0" collapsed="false">
      <c r="A34" s="5" t="s">
        <v>232</v>
      </c>
      <c r="B34" s="5" t="s">
        <v>233</v>
      </c>
      <c r="C34" s="6" t="s">
        <v>234</v>
      </c>
      <c r="D34" s="6" t="s">
        <v>235</v>
      </c>
      <c r="E34" s="5" t="s">
        <v>154</v>
      </c>
      <c r="F34" s="5" t="s">
        <v>189</v>
      </c>
      <c r="G34" s="5" t="s">
        <v>190</v>
      </c>
      <c r="H34" s="5" t="s">
        <v>236</v>
      </c>
      <c r="I34" s="5" t="s">
        <v>237</v>
      </c>
      <c r="J34" s="5" t="s">
        <v>46</v>
      </c>
    </row>
    <row r="35" customFormat="false" ht="35.05" hidden="false" customHeight="false" outlineLevel="0" collapsed="false">
      <c r="A35" s="5" t="s">
        <v>238</v>
      </c>
      <c r="B35" s="5" t="s">
        <v>239</v>
      </c>
      <c r="C35" s="5" t="s">
        <v>240</v>
      </c>
      <c r="D35" s="6" t="s">
        <v>241</v>
      </c>
      <c r="E35" s="5" t="s">
        <v>242</v>
      </c>
      <c r="F35" s="5" t="s">
        <v>189</v>
      </c>
      <c r="G35" s="5" t="s">
        <v>190</v>
      </c>
      <c r="H35" s="5" t="s">
        <v>243</v>
      </c>
      <c r="I35" s="5" t="s">
        <v>244</v>
      </c>
      <c r="J35" s="5" t="s">
        <v>46</v>
      </c>
    </row>
    <row r="36" customFormat="false" ht="23.85" hidden="false" customHeight="false" outlineLevel="0" collapsed="false">
      <c r="A36" s="5" t="s">
        <v>245</v>
      </c>
      <c r="B36" s="5" t="s">
        <v>246</v>
      </c>
      <c r="C36" s="5" t="s">
        <v>247</v>
      </c>
      <c r="D36" s="6" t="s">
        <v>248</v>
      </c>
      <c r="E36" s="5" t="s">
        <v>249</v>
      </c>
      <c r="F36" s="5" t="s">
        <v>189</v>
      </c>
      <c r="G36" s="5" t="s">
        <v>190</v>
      </c>
      <c r="H36" s="5" t="s">
        <v>250</v>
      </c>
      <c r="I36" s="5" t="s">
        <v>251</v>
      </c>
      <c r="J36" s="5" t="s">
        <v>46</v>
      </c>
    </row>
    <row r="37" customFormat="false" ht="35.05" hidden="false" customHeight="false" outlineLevel="0" collapsed="false">
      <c r="A37" s="5" t="s">
        <v>252</v>
      </c>
      <c r="B37" s="5" t="s">
        <v>239</v>
      </c>
      <c r="C37" s="6" t="s">
        <v>253</v>
      </c>
      <c r="D37" s="6" t="s">
        <v>254</v>
      </c>
      <c r="E37" s="5" t="s">
        <v>223</v>
      </c>
      <c r="F37" s="5" t="s">
        <v>189</v>
      </c>
      <c r="G37" s="5" t="s">
        <v>190</v>
      </c>
      <c r="H37" s="5" t="s">
        <v>255</v>
      </c>
      <c r="I37" s="5" t="s">
        <v>237</v>
      </c>
      <c r="J37" s="5" t="s">
        <v>46</v>
      </c>
    </row>
    <row r="38" customFormat="false" ht="23.85" hidden="false" customHeight="false" outlineLevel="0" collapsed="false">
      <c r="A38" s="5" t="s">
        <v>256</v>
      </c>
      <c r="B38" s="5" t="s">
        <v>257</v>
      </c>
      <c r="C38" s="6" t="s">
        <v>258</v>
      </c>
      <c r="D38" s="6" t="s">
        <v>259</v>
      </c>
      <c r="E38" s="5" t="s">
        <v>120</v>
      </c>
      <c r="F38" s="5" t="s">
        <v>121</v>
      </c>
      <c r="G38" s="5" t="s">
        <v>260</v>
      </c>
      <c r="H38" s="5" t="s">
        <v>261</v>
      </c>
      <c r="I38" s="5" t="s">
        <v>237</v>
      </c>
      <c r="J38" s="5" t="s">
        <v>46</v>
      </c>
    </row>
    <row r="39" customFormat="false" ht="23.85" hidden="false" customHeight="false" outlineLevel="0" collapsed="false">
      <c r="A39" s="5" t="s">
        <v>262</v>
      </c>
      <c r="B39" s="5" t="s">
        <v>263</v>
      </c>
      <c r="C39" s="6" t="s">
        <v>264</v>
      </c>
      <c r="D39" s="6" t="s">
        <v>265</v>
      </c>
      <c r="E39" s="5" t="s">
        <v>223</v>
      </c>
      <c r="F39" s="5" t="s">
        <v>52</v>
      </c>
      <c r="G39" s="5" t="s">
        <v>90</v>
      </c>
      <c r="H39" s="5" t="s">
        <v>224</v>
      </c>
      <c r="I39" s="5" t="s">
        <v>225</v>
      </c>
      <c r="J39" s="5" t="s">
        <v>46</v>
      </c>
    </row>
    <row r="40" customFormat="false" ht="35.05" hidden="false" customHeight="false" outlineLevel="0" collapsed="false">
      <c r="A40" s="5" t="s">
        <v>266</v>
      </c>
      <c r="B40" s="5" t="s">
        <v>267</v>
      </c>
      <c r="C40" s="6" t="s">
        <v>268</v>
      </c>
      <c r="D40" s="6" t="s">
        <v>269</v>
      </c>
      <c r="E40" s="5" t="s">
        <v>270</v>
      </c>
      <c r="F40" s="5" t="s">
        <v>189</v>
      </c>
      <c r="G40" s="5" t="s">
        <v>190</v>
      </c>
      <c r="H40" s="5" t="s">
        <v>271</v>
      </c>
      <c r="I40" s="5" t="s">
        <v>237</v>
      </c>
      <c r="J40" s="5" t="s">
        <v>46</v>
      </c>
    </row>
    <row r="41" customFormat="false" ht="23.85" hidden="false" customHeight="false" outlineLevel="0" collapsed="false">
      <c r="A41" s="5" t="s">
        <v>272</v>
      </c>
      <c r="B41" s="6" t="s">
        <v>273</v>
      </c>
      <c r="C41" s="5" t="s">
        <v>274</v>
      </c>
      <c r="D41" s="6" t="s">
        <v>275</v>
      </c>
      <c r="E41" s="5" t="s">
        <v>276</v>
      </c>
      <c r="F41" s="5" t="s">
        <v>277</v>
      </c>
      <c r="G41" s="5" t="s">
        <v>278</v>
      </c>
      <c r="H41" s="6" t="s">
        <v>279</v>
      </c>
      <c r="I41" s="5" t="s">
        <v>237</v>
      </c>
      <c r="J41" s="5" t="s">
        <v>46</v>
      </c>
    </row>
    <row r="42" customFormat="false" ht="23.85" hidden="false" customHeight="false" outlineLevel="0" collapsed="false">
      <c r="A42" s="5" t="s">
        <v>280</v>
      </c>
      <c r="B42" s="6" t="s">
        <v>281</v>
      </c>
      <c r="C42" s="5" t="s">
        <v>282</v>
      </c>
      <c r="D42" s="6" t="s">
        <v>283</v>
      </c>
      <c r="E42" s="5" t="s">
        <v>284</v>
      </c>
      <c r="F42" s="5" t="s">
        <v>155</v>
      </c>
      <c r="G42" s="5" t="s">
        <v>285</v>
      </c>
      <c r="H42" s="6" t="s">
        <v>286</v>
      </c>
      <c r="I42" s="5" t="s">
        <v>237</v>
      </c>
      <c r="J42" s="5" t="s">
        <v>46</v>
      </c>
    </row>
    <row r="43" customFormat="false" ht="23.85" hidden="false" customHeight="false" outlineLevel="0" collapsed="false">
      <c r="A43" s="5" t="s">
        <v>287</v>
      </c>
      <c r="B43" s="5" t="s">
        <v>105</v>
      </c>
      <c r="C43" s="5" t="s">
        <v>288</v>
      </c>
      <c r="D43" s="6" t="s">
        <v>289</v>
      </c>
      <c r="E43" s="5" t="s">
        <v>290</v>
      </c>
      <c r="F43" s="5" t="s">
        <v>52</v>
      </c>
      <c r="G43" s="5" t="s">
        <v>53</v>
      </c>
      <c r="H43" s="5" t="s">
        <v>109</v>
      </c>
      <c r="I43" s="5"/>
      <c r="J43" s="5" t="s">
        <v>46</v>
      </c>
    </row>
    <row r="44" customFormat="false" ht="23.85" hidden="false" customHeight="false" outlineLevel="0" collapsed="false">
      <c r="A44" s="5" t="s">
        <v>291</v>
      </c>
      <c r="B44" s="5" t="s">
        <v>105</v>
      </c>
      <c r="C44" s="5" t="s">
        <v>292</v>
      </c>
      <c r="D44" s="6" t="s">
        <v>293</v>
      </c>
      <c r="E44" s="5" t="s">
        <v>294</v>
      </c>
      <c r="F44" s="5" t="s">
        <v>52</v>
      </c>
      <c r="G44" s="5" t="s">
        <v>53</v>
      </c>
      <c r="H44" s="5" t="s">
        <v>109</v>
      </c>
      <c r="I44" s="5" t="s">
        <v>295</v>
      </c>
      <c r="J44" s="5" t="s">
        <v>46</v>
      </c>
    </row>
    <row r="45" customFormat="false" ht="23.85" hidden="false" customHeight="false" outlineLevel="0" collapsed="false">
      <c r="A45" s="5" t="s">
        <v>296</v>
      </c>
      <c r="B45" s="5" t="s">
        <v>105</v>
      </c>
      <c r="C45" s="5" t="s">
        <v>297</v>
      </c>
      <c r="D45" s="6" t="s">
        <v>298</v>
      </c>
      <c r="E45" s="5" t="s">
        <v>299</v>
      </c>
      <c r="F45" s="5" t="s">
        <v>52</v>
      </c>
      <c r="G45" s="5" t="s">
        <v>53</v>
      </c>
      <c r="H45" s="5" t="s">
        <v>109</v>
      </c>
      <c r="I45" s="6" t="s">
        <v>300</v>
      </c>
      <c r="J45" s="5" t="s">
        <v>46</v>
      </c>
    </row>
    <row r="46" customFormat="false" ht="46.25" hidden="false" customHeight="false" outlineLevel="0" collapsed="false">
      <c r="A46" s="5" t="s">
        <v>301</v>
      </c>
      <c r="B46" s="6" t="s">
        <v>302</v>
      </c>
      <c r="C46" s="5" t="s">
        <v>303</v>
      </c>
      <c r="D46" s="6" t="s">
        <v>304</v>
      </c>
      <c r="E46" s="5" t="s">
        <v>305</v>
      </c>
      <c r="F46" s="5" t="s">
        <v>306</v>
      </c>
      <c r="G46" s="5" t="s">
        <v>307</v>
      </c>
      <c r="H46" s="5" t="s">
        <v>109</v>
      </c>
      <c r="I46" s="5" t="s">
        <v>308</v>
      </c>
      <c r="J46" s="5" t="s">
        <v>46</v>
      </c>
    </row>
    <row r="47" customFormat="false" ht="23.85" hidden="false" customHeight="false" outlineLevel="0" collapsed="false">
      <c r="A47" s="5" t="s">
        <v>309</v>
      </c>
      <c r="B47" s="5" t="s">
        <v>105</v>
      </c>
      <c r="C47" s="5" t="s">
        <v>310</v>
      </c>
      <c r="D47" s="6" t="s">
        <v>311</v>
      </c>
      <c r="E47" s="5" t="s">
        <v>312</v>
      </c>
      <c r="F47" s="5" t="s">
        <v>52</v>
      </c>
      <c r="G47" s="5" t="s">
        <v>53</v>
      </c>
      <c r="H47" s="5" t="s">
        <v>109</v>
      </c>
      <c r="I47" s="5"/>
      <c r="J47" s="5" t="s">
        <v>46</v>
      </c>
    </row>
    <row r="48" customFormat="false" ht="23.85" hidden="false" customHeight="false" outlineLevel="0" collapsed="false">
      <c r="A48" s="5" t="s">
        <v>313</v>
      </c>
      <c r="B48" s="5" t="s">
        <v>314</v>
      </c>
      <c r="C48" s="5" t="s">
        <v>315</v>
      </c>
      <c r="D48" s="6" t="s">
        <v>316</v>
      </c>
      <c r="E48" s="5" t="s">
        <v>317</v>
      </c>
      <c r="F48" s="5" t="s">
        <v>155</v>
      </c>
      <c r="G48" s="5" t="s">
        <v>156</v>
      </c>
      <c r="H48" s="5" t="s">
        <v>109</v>
      </c>
      <c r="I48" s="5" t="s">
        <v>318</v>
      </c>
      <c r="J48" s="5" t="s">
        <v>46</v>
      </c>
    </row>
    <row r="49" customFormat="false" ht="23.85" hidden="false" customHeight="false" outlineLevel="0" collapsed="false">
      <c r="A49" s="5" t="s">
        <v>319</v>
      </c>
      <c r="B49" s="5" t="s">
        <v>105</v>
      </c>
      <c r="C49" s="5" t="s">
        <v>320</v>
      </c>
      <c r="D49" s="6" t="s">
        <v>321</v>
      </c>
      <c r="E49" s="5" t="s">
        <v>322</v>
      </c>
      <c r="F49" s="5" t="s">
        <v>52</v>
      </c>
      <c r="G49" s="5" t="s">
        <v>53</v>
      </c>
      <c r="H49" s="5" t="s">
        <v>109</v>
      </c>
      <c r="I49" s="6" t="s">
        <v>323</v>
      </c>
      <c r="J49" s="5" t="s">
        <v>46</v>
      </c>
    </row>
    <row r="50" customFormat="false" ht="35.05" hidden="false" customHeight="false" outlineLevel="0" collapsed="false">
      <c r="A50" s="5" t="s">
        <v>324</v>
      </c>
      <c r="B50" s="5" t="s">
        <v>93</v>
      </c>
      <c r="C50" s="5" t="s">
        <v>292</v>
      </c>
      <c r="D50" s="6" t="s">
        <v>325</v>
      </c>
      <c r="E50" s="5" t="s">
        <v>326</v>
      </c>
      <c r="F50" s="5" t="s">
        <v>52</v>
      </c>
      <c r="G50" s="5" t="s">
        <v>53</v>
      </c>
      <c r="H50" s="5" t="s">
        <v>327</v>
      </c>
      <c r="I50" s="5"/>
      <c r="J50" s="5" t="s">
        <v>46</v>
      </c>
    </row>
    <row r="51" customFormat="false" ht="35.05" hidden="false" customHeight="false" outlineLevel="0" collapsed="false">
      <c r="A51" s="5" t="s">
        <v>328</v>
      </c>
      <c r="B51" s="5" t="s">
        <v>93</v>
      </c>
      <c r="C51" s="5" t="s">
        <v>329</v>
      </c>
      <c r="D51" s="6" t="s">
        <v>330</v>
      </c>
      <c r="E51" s="5" t="s">
        <v>331</v>
      </c>
      <c r="F51" s="5" t="s">
        <v>52</v>
      </c>
      <c r="G51" s="5" t="s">
        <v>53</v>
      </c>
      <c r="H51" s="5" t="s">
        <v>327</v>
      </c>
      <c r="I51" s="5" t="s">
        <v>332</v>
      </c>
      <c r="J51" s="5" t="s">
        <v>46</v>
      </c>
    </row>
    <row r="52" customFormat="false" ht="35.05" hidden="false" customHeight="false" outlineLevel="0" collapsed="false">
      <c r="A52" s="5" t="s">
        <v>333</v>
      </c>
      <c r="B52" s="5" t="s">
        <v>93</v>
      </c>
      <c r="C52" s="5" t="s">
        <v>315</v>
      </c>
      <c r="D52" s="6" t="s">
        <v>334</v>
      </c>
      <c r="E52" s="5" t="s">
        <v>59</v>
      </c>
      <c r="F52" s="5" t="s">
        <v>52</v>
      </c>
      <c r="G52" s="5" t="s">
        <v>53</v>
      </c>
      <c r="H52" s="5" t="s">
        <v>327</v>
      </c>
      <c r="I52" s="5"/>
      <c r="J52" s="5" t="s">
        <v>46</v>
      </c>
    </row>
    <row r="53" customFormat="false" ht="35.05" hidden="false" customHeight="false" outlineLevel="0" collapsed="false">
      <c r="A53" s="5" t="s">
        <v>335</v>
      </c>
      <c r="B53" s="5" t="s">
        <v>99</v>
      </c>
      <c r="C53" s="5" t="s">
        <v>336</v>
      </c>
      <c r="D53" s="6" t="s">
        <v>337</v>
      </c>
      <c r="E53" s="5" t="s">
        <v>338</v>
      </c>
      <c r="F53" s="5" t="s">
        <v>52</v>
      </c>
      <c r="G53" s="5" t="s">
        <v>53</v>
      </c>
      <c r="H53" s="5" t="s">
        <v>339</v>
      </c>
      <c r="I53" s="6" t="s">
        <v>340</v>
      </c>
      <c r="J53" s="5" t="s">
        <v>46</v>
      </c>
    </row>
    <row r="54" customFormat="false" ht="23.85" hidden="false" customHeight="false" outlineLevel="0" collapsed="false">
      <c r="A54" s="5" t="s">
        <v>341</v>
      </c>
      <c r="B54" s="5" t="s">
        <v>342</v>
      </c>
      <c r="C54" s="5" t="s">
        <v>343</v>
      </c>
      <c r="D54" s="6" t="s">
        <v>344</v>
      </c>
      <c r="E54" s="5" t="s">
        <v>345</v>
      </c>
      <c r="F54" s="5" t="s">
        <v>155</v>
      </c>
      <c r="G54" s="5" t="s">
        <v>156</v>
      </c>
      <c r="H54" s="5" t="s">
        <v>346</v>
      </c>
      <c r="I54" s="6" t="s">
        <v>347</v>
      </c>
      <c r="J54" s="5" t="s">
        <v>46</v>
      </c>
    </row>
    <row r="55" customFormat="false" ht="23.85" hidden="false" customHeight="false" outlineLevel="0" collapsed="false">
      <c r="A55" s="5" t="s">
        <v>348</v>
      </c>
      <c r="B55" s="5" t="s">
        <v>342</v>
      </c>
      <c r="C55" s="5" t="s">
        <v>349</v>
      </c>
      <c r="D55" s="6" t="s">
        <v>350</v>
      </c>
      <c r="E55" s="5" t="s">
        <v>351</v>
      </c>
      <c r="F55" s="5" t="s">
        <v>155</v>
      </c>
      <c r="G55" s="5" t="s">
        <v>156</v>
      </c>
      <c r="H55" s="5" t="s">
        <v>339</v>
      </c>
      <c r="I55" s="5"/>
      <c r="J55" s="5" t="s">
        <v>46</v>
      </c>
    </row>
    <row r="56" customFormat="false" ht="23.85" hidden="false" customHeight="false" outlineLevel="0" collapsed="false">
      <c r="A56" s="5" t="s">
        <v>352</v>
      </c>
      <c r="B56" s="5" t="s">
        <v>353</v>
      </c>
      <c r="C56" s="6" t="s">
        <v>354</v>
      </c>
      <c r="D56" s="6" t="s">
        <v>355</v>
      </c>
      <c r="E56" s="5" t="s">
        <v>356</v>
      </c>
      <c r="F56" s="5" t="s">
        <v>155</v>
      </c>
      <c r="G56" s="5" t="s">
        <v>156</v>
      </c>
      <c r="H56" s="5" t="s">
        <v>357</v>
      </c>
      <c r="I56" s="5"/>
      <c r="J56" s="5" t="s">
        <v>46</v>
      </c>
    </row>
    <row r="57" customFormat="false" ht="23.85" hidden="false" customHeight="false" outlineLevel="0" collapsed="false">
      <c r="A57" s="5" t="s">
        <v>358</v>
      </c>
      <c r="B57" s="5" t="s">
        <v>353</v>
      </c>
      <c r="C57" s="6" t="s">
        <v>359</v>
      </c>
      <c r="D57" s="6" t="s">
        <v>360</v>
      </c>
      <c r="E57" s="5" t="s">
        <v>361</v>
      </c>
      <c r="F57" s="5" t="s">
        <v>155</v>
      </c>
      <c r="G57" s="5" t="s">
        <v>156</v>
      </c>
      <c r="H57" s="5" t="s">
        <v>357</v>
      </c>
      <c r="I57" s="5" t="s">
        <v>362</v>
      </c>
      <c r="J57" s="5" t="s">
        <v>46</v>
      </c>
    </row>
    <row r="58" customFormat="false" ht="23.85" hidden="false" customHeight="false" outlineLevel="0" collapsed="false">
      <c r="A58" s="5" t="s">
        <v>363</v>
      </c>
      <c r="B58" s="5" t="s">
        <v>213</v>
      </c>
      <c r="C58" s="5" t="s">
        <v>364</v>
      </c>
      <c r="D58" s="6" t="s">
        <v>365</v>
      </c>
      <c r="E58" s="5" t="s">
        <v>366</v>
      </c>
      <c r="F58" s="5" t="s">
        <v>182</v>
      </c>
      <c r="G58" s="5" t="s">
        <v>190</v>
      </c>
      <c r="H58" s="5" t="s">
        <v>367</v>
      </c>
      <c r="I58" s="5" t="s">
        <v>368</v>
      </c>
      <c r="J58" s="5" t="s">
        <v>46</v>
      </c>
    </row>
    <row r="59" customFormat="false" ht="23.85" hidden="false" customHeight="false" outlineLevel="0" collapsed="false">
      <c r="A59" s="5" t="s">
        <v>369</v>
      </c>
      <c r="B59" s="5" t="s">
        <v>205</v>
      </c>
      <c r="C59" s="5" t="s">
        <v>370</v>
      </c>
      <c r="D59" s="6" t="s">
        <v>371</v>
      </c>
      <c r="E59" s="5" t="s">
        <v>372</v>
      </c>
      <c r="F59" s="5" t="s">
        <v>209</v>
      </c>
      <c r="G59" s="5" t="s">
        <v>190</v>
      </c>
      <c r="H59" s="5" t="s">
        <v>373</v>
      </c>
      <c r="I59" s="5" t="s">
        <v>374</v>
      </c>
      <c r="J59" s="5" t="s">
        <v>46</v>
      </c>
    </row>
    <row r="60" customFormat="false" ht="23.85" hidden="false" customHeight="false" outlineLevel="0" collapsed="false">
      <c r="A60" s="5" t="s">
        <v>375</v>
      </c>
      <c r="B60" s="5" t="s">
        <v>376</v>
      </c>
      <c r="C60" s="5" t="s">
        <v>315</v>
      </c>
      <c r="D60" s="6" t="s">
        <v>377</v>
      </c>
      <c r="E60" s="5" t="s">
        <v>317</v>
      </c>
      <c r="F60" s="5" t="s">
        <v>52</v>
      </c>
      <c r="G60" s="5" t="s">
        <v>53</v>
      </c>
      <c r="H60" s="5" t="s">
        <v>378</v>
      </c>
      <c r="I60" s="6" t="s">
        <v>379</v>
      </c>
      <c r="J60" s="5" t="s">
        <v>46</v>
      </c>
    </row>
    <row r="61" customFormat="false" ht="35.05" hidden="false" customHeight="false" outlineLevel="0" collapsed="false">
      <c r="A61" s="5" t="s">
        <v>380</v>
      </c>
      <c r="B61" s="5" t="s">
        <v>381</v>
      </c>
      <c r="C61" s="6" t="s">
        <v>382</v>
      </c>
      <c r="D61" s="6" t="s">
        <v>383</v>
      </c>
      <c r="E61" s="5" t="s">
        <v>351</v>
      </c>
      <c r="F61" s="5" t="s">
        <v>155</v>
      </c>
      <c r="G61" s="5" t="s">
        <v>156</v>
      </c>
      <c r="H61" s="5" t="s">
        <v>378</v>
      </c>
      <c r="I61" s="6" t="s">
        <v>384</v>
      </c>
      <c r="J61" s="5" t="s">
        <v>46</v>
      </c>
    </row>
    <row r="62" customFormat="false" ht="23.85" hidden="false" customHeight="false" outlineLevel="0" collapsed="false">
      <c r="A62" s="5" t="s">
        <v>385</v>
      </c>
      <c r="B62" s="5" t="s">
        <v>213</v>
      </c>
      <c r="C62" s="5" t="s">
        <v>386</v>
      </c>
      <c r="D62" s="6" t="s">
        <v>387</v>
      </c>
      <c r="E62" s="5" t="s">
        <v>216</v>
      </c>
      <c r="F62" s="5" t="s">
        <v>182</v>
      </c>
      <c r="G62" s="5" t="s">
        <v>190</v>
      </c>
      <c r="H62" s="5" t="s">
        <v>388</v>
      </c>
      <c r="I62" s="6" t="s">
        <v>389</v>
      </c>
      <c r="J62" s="5" t="s">
        <v>46</v>
      </c>
    </row>
    <row r="63" customFormat="false" ht="35.05" hidden="false" customHeight="false" outlineLevel="0" collapsed="false">
      <c r="A63" s="5" t="s">
        <v>390</v>
      </c>
      <c r="B63" s="5" t="s">
        <v>391</v>
      </c>
      <c r="C63" s="6" t="s">
        <v>392</v>
      </c>
      <c r="D63" s="6" t="s">
        <v>393</v>
      </c>
      <c r="E63" s="5" t="s">
        <v>120</v>
      </c>
      <c r="F63" s="5" t="s">
        <v>189</v>
      </c>
      <c r="G63" s="5" t="s">
        <v>190</v>
      </c>
      <c r="H63" s="5" t="s">
        <v>394</v>
      </c>
      <c r="I63" s="5" t="s">
        <v>395</v>
      </c>
      <c r="J63" s="5" t="s">
        <v>46</v>
      </c>
    </row>
    <row r="64" customFormat="false" ht="35.05" hidden="false" customHeight="false" outlineLevel="0" collapsed="false">
      <c r="A64" s="5" t="s">
        <v>396</v>
      </c>
      <c r="B64" s="5" t="s">
        <v>93</v>
      </c>
      <c r="C64" s="5" t="s">
        <v>397</v>
      </c>
      <c r="D64" s="6" t="s">
        <v>398</v>
      </c>
      <c r="E64" s="5" t="s">
        <v>399</v>
      </c>
      <c r="F64" s="5" t="s">
        <v>52</v>
      </c>
      <c r="G64" s="5" t="s">
        <v>53</v>
      </c>
      <c r="H64" s="5" t="s">
        <v>327</v>
      </c>
      <c r="I64" s="5" t="s">
        <v>400</v>
      </c>
      <c r="J64" s="5" t="s">
        <v>46</v>
      </c>
    </row>
    <row r="65" customFormat="false" ht="35.05" hidden="false" customHeight="false" outlineLevel="0" collapsed="false">
      <c r="A65" s="5" t="s">
        <v>401</v>
      </c>
      <c r="B65" s="5" t="s">
        <v>93</v>
      </c>
      <c r="C65" s="5" t="s">
        <v>106</v>
      </c>
      <c r="D65" s="6" t="s">
        <v>402</v>
      </c>
      <c r="E65" s="5" t="s">
        <v>403</v>
      </c>
      <c r="F65" s="5" t="s">
        <v>52</v>
      </c>
      <c r="G65" s="5" t="s">
        <v>53</v>
      </c>
      <c r="H65" s="5" t="s">
        <v>327</v>
      </c>
      <c r="I65" s="5" t="s">
        <v>404</v>
      </c>
      <c r="J65" s="5" t="s">
        <v>46</v>
      </c>
    </row>
    <row r="66" customFormat="false" ht="35.05" hidden="false" customHeight="false" outlineLevel="0" collapsed="false">
      <c r="A66" s="5" t="s">
        <v>405</v>
      </c>
      <c r="B66" s="5" t="s">
        <v>48</v>
      </c>
      <c r="C66" s="5" t="s">
        <v>406</v>
      </c>
      <c r="D66" s="6" t="s">
        <v>407</v>
      </c>
      <c r="E66" s="5" t="s">
        <v>408</v>
      </c>
      <c r="F66" s="5" t="s">
        <v>52</v>
      </c>
      <c r="G66" s="5" t="s">
        <v>53</v>
      </c>
      <c r="H66" s="5" t="s">
        <v>409</v>
      </c>
      <c r="I66" s="5" t="s">
        <v>410</v>
      </c>
      <c r="J66" s="5" t="s">
        <v>46</v>
      </c>
    </row>
    <row r="67" customFormat="false" ht="35.05" hidden="false" customHeight="false" outlineLevel="0" collapsed="false">
      <c r="A67" s="5" t="s">
        <v>411</v>
      </c>
      <c r="B67" s="5" t="s">
        <v>48</v>
      </c>
      <c r="C67" s="5" t="s">
        <v>412</v>
      </c>
      <c r="D67" s="6" t="s">
        <v>413</v>
      </c>
      <c r="E67" s="5" t="s">
        <v>414</v>
      </c>
      <c r="F67" s="5" t="s">
        <v>52</v>
      </c>
      <c r="G67" s="5" t="s">
        <v>53</v>
      </c>
      <c r="H67" s="5" t="s">
        <v>415</v>
      </c>
      <c r="I67" s="6" t="s">
        <v>416</v>
      </c>
      <c r="J67" s="5" t="s">
        <v>46</v>
      </c>
    </row>
    <row r="68" customFormat="false" ht="35.05" hidden="false" customHeight="false" outlineLevel="0" collapsed="false">
      <c r="A68" s="5" t="s">
        <v>417</v>
      </c>
      <c r="B68" s="5" t="s">
        <v>48</v>
      </c>
      <c r="C68" s="5" t="s">
        <v>418</v>
      </c>
      <c r="D68" s="6" t="s">
        <v>419</v>
      </c>
      <c r="E68" s="5" t="s">
        <v>420</v>
      </c>
      <c r="F68" s="5" t="s">
        <v>52</v>
      </c>
      <c r="G68" s="5" t="s">
        <v>53</v>
      </c>
      <c r="H68" s="5" t="s">
        <v>421</v>
      </c>
      <c r="I68" s="5" t="s">
        <v>422</v>
      </c>
      <c r="J68" s="5" t="s">
        <v>46</v>
      </c>
    </row>
    <row r="69" customFormat="false" ht="35.05" hidden="false" customHeight="false" outlineLevel="0" collapsed="false">
      <c r="A69" s="5" t="s">
        <v>423</v>
      </c>
      <c r="B69" s="5" t="s">
        <v>48</v>
      </c>
      <c r="C69" s="5" t="s">
        <v>424</v>
      </c>
      <c r="D69" s="6" t="s">
        <v>425</v>
      </c>
      <c r="E69" s="5" t="s">
        <v>426</v>
      </c>
      <c r="F69" s="5" t="s">
        <v>52</v>
      </c>
      <c r="G69" s="5" t="s">
        <v>53</v>
      </c>
      <c r="H69" s="5" t="s">
        <v>427</v>
      </c>
      <c r="I69" s="6" t="s">
        <v>428</v>
      </c>
      <c r="J69" s="5" t="s">
        <v>46</v>
      </c>
    </row>
    <row r="70" customFormat="false" ht="35.05" hidden="false" customHeight="false" outlineLevel="0" collapsed="false">
      <c r="A70" s="5" t="s">
        <v>429</v>
      </c>
      <c r="B70" s="5" t="s">
        <v>48</v>
      </c>
      <c r="C70" s="5" t="s">
        <v>430</v>
      </c>
      <c r="D70" s="6" t="s">
        <v>431</v>
      </c>
      <c r="E70" s="5" t="s">
        <v>432</v>
      </c>
      <c r="F70" s="5" t="s">
        <v>52</v>
      </c>
      <c r="G70" s="5" t="s">
        <v>53</v>
      </c>
      <c r="H70" s="5" t="s">
        <v>433</v>
      </c>
      <c r="I70" s="6" t="s">
        <v>434</v>
      </c>
      <c r="J70" s="5" t="s">
        <v>46</v>
      </c>
    </row>
    <row r="71" customFormat="false" ht="23.85" hidden="false" customHeight="false" outlineLevel="0" collapsed="false">
      <c r="A71" s="5" t="s">
        <v>435</v>
      </c>
      <c r="B71" s="5" t="s">
        <v>436</v>
      </c>
      <c r="C71" s="6" t="s">
        <v>437</v>
      </c>
      <c r="D71" s="6" t="s">
        <v>438</v>
      </c>
      <c r="E71" s="5" t="s">
        <v>439</v>
      </c>
      <c r="F71" s="5" t="s">
        <v>155</v>
      </c>
      <c r="G71" s="5" t="s">
        <v>285</v>
      </c>
      <c r="H71" s="6" t="s">
        <v>440</v>
      </c>
      <c r="I71" s="5" t="s">
        <v>441</v>
      </c>
      <c r="J71" s="5" t="s">
        <v>46</v>
      </c>
    </row>
    <row r="72" customFormat="false" ht="23.85" hidden="false" customHeight="false" outlineLevel="0" collapsed="false">
      <c r="A72" s="5" t="s">
        <v>442</v>
      </c>
      <c r="B72" s="5" t="s">
        <v>105</v>
      </c>
      <c r="C72" s="5" t="s">
        <v>443</v>
      </c>
      <c r="D72" s="6" t="s">
        <v>444</v>
      </c>
      <c r="E72" s="5" t="s">
        <v>445</v>
      </c>
      <c r="F72" s="5" t="s">
        <v>52</v>
      </c>
      <c r="G72" s="5" t="s">
        <v>53</v>
      </c>
      <c r="H72" s="5" t="s">
        <v>109</v>
      </c>
      <c r="I72" s="5" t="s">
        <v>446</v>
      </c>
      <c r="J72" s="5" t="s">
        <v>46</v>
      </c>
    </row>
    <row r="73" customFormat="false" ht="23.85" hidden="false" customHeight="false" outlineLevel="0" collapsed="false">
      <c r="A73" s="5" t="s">
        <v>447</v>
      </c>
      <c r="B73" s="5" t="s">
        <v>105</v>
      </c>
      <c r="C73" s="5" t="s">
        <v>448</v>
      </c>
      <c r="D73" s="6" t="s">
        <v>449</v>
      </c>
      <c r="E73" s="5" t="s">
        <v>450</v>
      </c>
      <c r="F73" s="5" t="s">
        <v>52</v>
      </c>
      <c r="G73" s="5" t="s">
        <v>53</v>
      </c>
      <c r="H73" s="5" t="s">
        <v>451</v>
      </c>
      <c r="I73" s="6" t="s">
        <v>452</v>
      </c>
      <c r="J73" s="5" t="s">
        <v>46</v>
      </c>
    </row>
    <row r="74" customFormat="false" ht="23.85" hidden="false" customHeight="false" outlineLevel="0" collapsed="false">
      <c r="A74" s="5" t="s">
        <v>453</v>
      </c>
      <c r="B74" s="5" t="s">
        <v>105</v>
      </c>
      <c r="C74" s="5" t="s">
        <v>454</v>
      </c>
      <c r="D74" s="6" t="s">
        <v>455</v>
      </c>
      <c r="E74" s="5" t="s">
        <v>456</v>
      </c>
      <c r="F74" s="5" t="s">
        <v>52</v>
      </c>
      <c r="G74" s="5" t="s">
        <v>53</v>
      </c>
      <c r="H74" s="5" t="s">
        <v>109</v>
      </c>
      <c r="I74" s="5" t="s">
        <v>457</v>
      </c>
      <c r="J74" s="5" t="s">
        <v>46</v>
      </c>
    </row>
    <row r="75" customFormat="false" ht="23.85" hidden="false" customHeight="false" outlineLevel="0" collapsed="false">
      <c r="A75" s="5" t="s">
        <v>458</v>
      </c>
      <c r="B75" s="5" t="s">
        <v>105</v>
      </c>
      <c r="C75" s="5" t="s">
        <v>459</v>
      </c>
      <c r="D75" s="6" t="s">
        <v>460</v>
      </c>
      <c r="E75" s="5" t="s">
        <v>461</v>
      </c>
      <c r="F75" s="5" t="s">
        <v>129</v>
      </c>
      <c r="G75" s="5" t="s">
        <v>122</v>
      </c>
      <c r="H75" s="6" t="s">
        <v>462</v>
      </c>
      <c r="I75" s="5"/>
      <c r="J75" s="5" t="s">
        <v>46</v>
      </c>
    </row>
    <row r="76" customFormat="false" ht="23.85" hidden="false" customHeight="false" outlineLevel="0" collapsed="false">
      <c r="A76" s="5" t="s">
        <v>463</v>
      </c>
      <c r="B76" s="5" t="s">
        <v>105</v>
      </c>
      <c r="C76" s="5" t="s">
        <v>464</v>
      </c>
      <c r="D76" s="6" t="s">
        <v>465</v>
      </c>
      <c r="E76" s="5" t="s">
        <v>466</v>
      </c>
      <c r="F76" s="5" t="s">
        <v>52</v>
      </c>
      <c r="G76" s="5" t="s">
        <v>53</v>
      </c>
      <c r="H76" s="5" t="s">
        <v>109</v>
      </c>
      <c r="I76" s="6" t="s">
        <v>467</v>
      </c>
      <c r="J76" s="5" t="s">
        <v>46</v>
      </c>
    </row>
    <row r="77" customFormat="false" ht="46.25" hidden="false" customHeight="false" outlineLevel="0" collapsed="false">
      <c r="A77" s="5" t="s">
        <v>468</v>
      </c>
      <c r="B77" s="5" t="s">
        <v>105</v>
      </c>
      <c r="C77" s="6" t="s">
        <v>469</v>
      </c>
      <c r="D77" s="6" t="s">
        <v>470</v>
      </c>
      <c r="E77" s="5" t="s">
        <v>471</v>
      </c>
      <c r="F77" s="5" t="s">
        <v>129</v>
      </c>
      <c r="G77" s="5" t="s">
        <v>122</v>
      </c>
      <c r="H77" s="5" t="s">
        <v>139</v>
      </c>
      <c r="I77" s="5" t="s">
        <v>472</v>
      </c>
      <c r="J77" s="5" t="s">
        <v>46</v>
      </c>
    </row>
    <row r="78" customFormat="false" ht="23.85" hidden="false" customHeight="false" outlineLevel="0" collapsed="false">
      <c r="A78" s="5" t="s">
        <v>473</v>
      </c>
      <c r="B78" s="5" t="s">
        <v>151</v>
      </c>
      <c r="C78" s="6" t="s">
        <v>474</v>
      </c>
      <c r="D78" s="6" t="s">
        <v>475</v>
      </c>
      <c r="E78" s="5" t="s">
        <v>476</v>
      </c>
      <c r="F78" s="5" t="s">
        <v>155</v>
      </c>
      <c r="G78" s="5" t="s">
        <v>285</v>
      </c>
      <c r="H78" s="5" t="s">
        <v>477</v>
      </c>
      <c r="I78" s="5"/>
      <c r="J78" s="5" t="s">
        <v>46</v>
      </c>
    </row>
    <row r="79" customFormat="false" ht="23.85" hidden="false" customHeight="false" outlineLevel="0" collapsed="false">
      <c r="A79" s="5" t="s">
        <v>478</v>
      </c>
      <c r="B79" s="5" t="s">
        <v>151</v>
      </c>
      <c r="C79" s="6" t="s">
        <v>479</v>
      </c>
      <c r="D79" s="6" t="s">
        <v>480</v>
      </c>
      <c r="E79" s="5" t="s">
        <v>439</v>
      </c>
      <c r="F79" s="5" t="s">
        <v>155</v>
      </c>
      <c r="G79" s="5" t="s">
        <v>285</v>
      </c>
      <c r="H79" s="5" t="s">
        <v>139</v>
      </c>
      <c r="I79" s="5"/>
      <c r="J79" s="5" t="s">
        <v>46</v>
      </c>
    </row>
    <row r="80" customFormat="false" ht="23.85" hidden="false" customHeight="false" outlineLevel="0" collapsed="false">
      <c r="A80" s="5" t="s">
        <v>481</v>
      </c>
      <c r="B80" s="5" t="s">
        <v>482</v>
      </c>
      <c r="C80" s="5" t="s">
        <v>483</v>
      </c>
      <c r="D80" s="6" t="s">
        <v>484</v>
      </c>
      <c r="E80" s="5" t="s">
        <v>485</v>
      </c>
      <c r="F80" s="5" t="s">
        <v>121</v>
      </c>
      <c r="G80" s="5" t="s">
        <v>260</v>
      </c>
      <c r="H80" s="5" t="s">
        <v>139</v>
      </c>
      <c r="I80" s="6" t="s">
        <v>486</v>
      </c>
      <c r="J80" s="5" t="s">
        <v>46</v>
      </c>
    </row>
    <row r="81" customFormat="false" ht="23.85" hidden="false" customHeight="false" outlineLevel="0" collapsed="false">
      <c r="A81" s="5" t="s">
        <v>487</v>
      </c>
      <c r="B81" s="5" t="s">
        <v>376</v>
      </c>
      <c r="C81" s="5" t="s">
        <v>488</v>
      </c>
      <c r="D81" s="6" t="s">
        <v>489</v>
      </c>
      <c r="E81" s="5" t="s">
        <v>439</v>
      </c>
      <c r="F81" s="5" t="s">
        <v>129</v>
      </c>
      <c r="G81" s="5" t="s">
        <v>122</v>
      </c>
      <c r="H81" s="5" t="s">
        <v>134</v>
      </c>
      <c r="I81" s="5"/>
      <c r="J81" s="5" t="s">
        <v>46</v>
      </c>
    </row>
    <row r="82" customFormat="false" ht="23.85" hidden="false" customHeight="false" outlineLevel="0" collapsed="false">
      <c r="A82" s="5" t="s">
        <v>490</v>
      </c>
      <c r="B82" s="5" t="s">
        <v>376</v>
      </c>
      <c r="C82" s="5" t="s">
        <v>491</v>
      </c>
      <c r="D82" s="6" t="s">
        <v>492</v>
      </c>
      <c r="E82" s="5" t="s">
        <v>493</v>
      </c>
      <c r="F82" s="5" t="s">
        <v>129</v>
      </c>
      <c r="G82" s="5" t="s">
        <v>260</v>
      </c>
      <c r="H82" s="5" t="s">
        <v>494</v>
      </c>
      <c r="I82" s="5"/>
      <c r="J82" s="5" t="s">
        <v>46</v>
      </c>
    </row>
    <row r="83" customFormat="false" ht="23.85" hidden="false" customHeight="false" outlineLevel="0" collapsed="false">
      <c r="A83" s="5" t="s">
        <v>495</v>
      </c>
      <c r="B83" s="5" t="s">
        <v>376</v>
      </c>
      <c r="C83" s="5" t="s">
        <v>496</v>
      </c>
      <c r="D83" s="6" t="s">
        <v>497</v>
      </c>
      <c r="E83" s="5" t="s">
        <v>485</v>
      </c>
      <c r="F83" s="5" t="s">
        <v>129</v>
      </c>
      <c r="G83" s="5" t="s">
        <v>260</v>
      </c>
      <c r="H83" s="5" t="s">
        <v>498</v>
      </c>
      <c r="I83" s="5"/>
      <c r="J83" s="5" t="s">
        <v>46</v>
      </c>
    </row>
    <row r="84" customFormat="false" ht="23.85" hidden="false" customHeight="false" outlineLevel="0" collapsed="false">
      <c r="A84" s="5" t="s">
        <v>499</v>
      </c>
      <c r="B84" s="5" t="s">
        <v>376</v>
      </c>
      <c r="C84" s="5" t="s">
        <v>500</v>
      </c>
      <c r="D84" s="6" t="s">
        <v>501</v>
      </c>
      <c r="E84" s="5" t="s">
        <v>502</v>
      </c>
      <c r="F84" s="5" t="s">
        <v>129</v>
      </c>
      <c r="G84" s="5" t="s">
        <v>260</v>
      </c>
      <c r="H84" s="5" t="s">
        <v>144</v>
      </c>
      <c r="I84" s="5"/>
      <c r="J84" s="5" t="s">
        <v>46</v>
      </c>
    </row>
    <row r="85" customFormat="false" ht="68.65" hidden="false" customHeight="false" outlineLevel="0" collapsed="false">
      <c r="A85" s="5" t="s">
        <v>503</v>
      </c>
      <c r="B85" s="5" t="s">
        <v>93</v>
      </c>
      <c r="C85" s="6" t="s">
        <v>504</v>
      </c>
      <c r="D85" s="6" t="s">
        <v>505</v>
      </c>
      <c r="E85" s="5" t="s">
        <v>506</v>
      </c>
      <c r="F85" s="5" t="s">
        <v>507</v>
      </c>
      <c r="G85" s="5" t="s">
        <v>260</v>
      </c>
      <c r="H85" s="6" t="s">
        <v>508</v>
      </c>
      <c r="I85" s="5"/>
      <c r="J85" s="5" t="s">
        <v>46</v>
      </c>
    </row>
    <row r="86" customFormat="false" ht="57.45" hidden="false" customHeight="false" outlineLevel="0" collapsed="false">
      <c r="A86" s="5" t="s">
        <v>509</v>
      </c>
      <c r="B86" s="5" t="s">
        <v>93</v>
      </c>
      <c r="C86" s="6" t="s">
        <v>510</v>
      </c>
      <c r="D86" s="6" t="s">
        <v>511</v>
      </c>
      <c r="E86" s="5" t="s">
        <v>120</v>
      </c>
      <c r="F86" s="5" t="s">
        <v>507</v>
      </c>
      <c r="G86" s="5" t="s">
        <v>260</v>
      </c>
      <c r="H86" s="5" t="s">
        <v>512</v>
      </c>
      <c r="I86" s="5"/>
      <c r="J86" s="5" t="s">
        <v>46</v>
      </c>
    </row>
    <row r="87" customFormat="false" ht="35.05" hidden="false" customHeight="false" outlineLevel="0" collapsed="false">
      <c r="A87" s="5" t="s">
        <v>513</v>
      </c>
      <c r="B87" s="5" t="s">
        <v>514</v>
      </c>
      <c r="C87" s="6" t="s">
        <v>515</v>
      </c>
      <c r="D87" s="6" t="s">
        <v>516</v>
      </c>
      <c r="E87" s="5" t="s">
        <v>223</v>
      </c>
      <c r="F87" s="5" t="s">
        <v>155</v>
      </c>
      <c r="G87" s="5" t="s">
        <v>285</v>
      </c>
      <c r="H87" s="6" t="s">
        <v>517</v>
      </c>
      <c r="I87" s="6" t="s">
        <v>518</v>
      </c>
      <c r="J87" s="5" t="s">
        <v>46</v>
      </c>
    </row>
    <row r="88" customFormat="false" ht="23.85" hidden="false" customHeight="false" outlineLevel="0" collapsed="false">
      <c r="A88" s="5" t="s">
        <v>519</v>
      </c>
      <c r="B88" s="5" t="s">
        <v>520</v>
      </c>
      <c r="C88" s="6" t="s">
        <v>521</v>
      </c>
      <c r="D88" s="6" t="s">
        <v>522</v>
      </c>
      <c r="E88" s="5" t="s">
        <v>523</v>
      </c>
      <c r="F88" s="5" t="s">
        <v>182</v>
      </c>
      <c r="G88" s="5" t="s">
        <v>190</v>
      </c>
      <c r="H88" s="6" t="s">
        <v>524</v>
      </c>
      <c r="I88" s="6" t="s">
        <v>525</v>
      </c>
      <c r="J88" s="5" t="s">
        <v>46</v>
      </c>
    </row>
    <row r="89" customFormat="false" ht="35.05" hidden="false" customHeight="false" outlineLevel="0" collapsed="false">
      <c r="A89" s="5" t="s">
        <v>526</v>
      </c>
      <c r="B89" s="5" t="s">
        <v>179</v>
      </c>
      <c r="C89" s="6" t="s">
        <v>527</v>
      </c>
      <c r="D89" s="6" t="s">
        <v>528</v>
      </c>
      <c r="E89" s="5" t="s">
        <v>529</v>
      </c>
      <c r="F89" s="5" t="s">
        <v>182</v>
      </c>
      <c r="G89" s="5" t="s">
        <v>190</v>
      </c>
      <c r="H89" s="6" t="s">
        <v>530</v>
      </c>
      <c r="I89" s="6" t="s">
        <v>531</v>
      </c>
      <c r="J89" s="5" t="s">
        <v>46</v>
      </c>
    </row>
    <row r="90" customFormat="false" ht="23.85" hidden="false" customHeight="false" outlineLevel="0" collapsed="false">
      <c r="A90" s="5" t="s">
        <v>532</v>
      </c>
      <c r="B90" s="5" t="s">
        <v>533</v>
      </c>
      <c r="C90" s="6" t="s">
        <v>534</v>
      </c>
      <c r="D90" s="6" t="s">
        <v>535</v>
      </c>
      <c r="E90" s="5" t="s">
        <v>536</v>
      </c>
      <c r="F90" s="5" t="s">
        <v>189</v>
      </c>
      <c r="G90" s="5" t="s">
        <v>190</v>
      </c>
      <c r="H90" s="5" t="s">
        <v>373</v>
      </c>
      <c r="I90" s="6" t="s">
        <v>537</v>
      </c>
      <c r="J90" s="5" t="s">
        <v>46</v>
      </c>
    </row>
    <row r="91" customFormat="false" ht="23.85" hidden="false" customHeight="false" outlineLevel="0" collapsed="false">
      <c r="A91" s="5" t="s">
        <v>538</v>
      </c>
      <c r="B91" s="5" t="s">
        <v>539</v>
      </c>
      <c r="C91" s="5" t="s">
        <v>540</v>
      </c>
      <c r="D91" s="6" t="s">
        <v>541</v>
      </c>
      <c r="E91" s="5" t="s">
        <v>120</v>
      </c>
      <c r="F91" s="5" t="s">
        <v>189</v>
      </c>
      <c r="G91" s="5" t="s">
        <v>190</v>
      </c>
      <c r="H91" s="5" t="s">
        <v>542</v>
      </c>
      <c r="I91" s="5" t="s">
        <v>543</v>
      </c>
      <c r="J91" s="5" t="s">
        <v>46</v>
      </c>
    </row>
    <row r="92" customFormat="false" ht="35.05" hidden="false" customHeight="false" outlineLevel="0" collapsed="false">
      <c r="A92" s="5" t="s">
        <v>544</v>
      </c>
      <c r="B92" s="6" t="s">
        <v>545</v>
      </c>
      <c r="C92" s="6" t="s">
        <v>546</v>
      </c>
      <c r="D92" s="5" t="s">
        <v>547</v>
      </c>
      <c r="E92" s="5" t="s">
        <v>548</v>
      </c>
      <c r="F92" s="5" t="s">
        <v>549</v>
      </c>
      <c r="G92" s="5" t="s">
        <v>550</v>
      </c>
      <c r="H92" s="5" t="s">
        <v>551</v>
      </c>
      <c r="I92" s="6" t="s">
        <v>552</v>
      </c>
      <c r="J92" s="5" t="s">
        <v>46</v>
      </c>
    </row>
    <row r="93" customFormat="false" ht="23.85" hidden="false" customHeight="false" outlineLevel="0" collapsed="false">
      <c r="A93" s="5" t="s">
        <v>553</v>
      </c>
      <c r="B93" s="5" t="s">
        <v>554</v>
      </c>
      <c r="C93" s="6" t="s">
        <v>555</v>
      </c>
      <c r="D93" s="6" t="s">
        <v>556</v>
      </c>
      <c r="E93" s="5" t="s">
        <v>557</v>
      </c>
      <c r="F93" s="5" t="s">
        <v>189</v>
      </c>
      <c r="G93" s="5" t="s">
        <v>190</v>
      </c>
      <c r="H93" s="5" t="s">
        <v>558</v>
      </c>
      <c r="I93" s="5"/>
      <c r="J93" s="5" t="s">
        <v>46</v>
      </c>
    </row>
    <row r="94" customFormat="false" ht="35.05" hidden="false" customHeight="false" outlineLevel="0" collapsed="false">
      <c r="A94" s="5" t="s">
        <v>559</v>
      </c>
      <c r="B94" s="5" t="s">
        <v>560</v>
      </c>
      <c r="C94" s="6" t="s">
        <v>561</v>
      </c>
      <c r="D94" s="6" t="s">
        <v>562</v>
      </c>
      <c r="E94" s="5" t="s">
        <v>563</v>
      </c>
      <c r="F94" s="5" t="s">
        <v>189</v>
      </c>
      <c r="G94" s="5" t="s">
        <v>190</v>
      </c>
      <c r="H94" s="5" t="s">
        <v>558</v>
      </c>
      <c r="I94" s="5"/>
      <c r="J94" s="5" t="s">
        <v>46</v>
      </c>
    </row>
    <row r="95" customFormat="false" ht="23.85" hidden="false" customHeight="false" outlineLevel="0" collapsed="false">
      <c r="A95" s="5" t="s">
        <v>564</v>
      </c>
      <c r="B95" s="5" t="s">
        <v>186</v>
      </c>
      <c r="C95" s="6" t="s">
        <v>565</v>
      </c>
      <c r="D95" s="6" t="s">
        <v>566</v>
      </c>
      <c r="E95" s="5" t="s">
        <v>567</v>
      </c>
      <c r="F95" s="5" t="s">
        <v>189</v>
      </c>
      <c r="G95" s="5" t="s">
        <v>190</v>
      </c>
      <c r="H95" s="6" t="s">
        <v>568</v>
      </c>
      <c r="I95" s="5"/>
      <c r="J95" s="5" t="s">
        <v>46</v>
      </c>
    </row>
    <row r="96" customFormat="false" ht="35.05" hidden="false" customHeight="false" outlineLevel="0" collapsed="false">
      <c r="A96" s="5" t="s">
        <v>569</v>
      </c>
      <c r="B96" s="5" t="s">
        <v>570</v>
      </c>
      <c r="C96" s="6" t="s">
        <v>571</v>
      </c>
      <c r="D96" s="6" t="s">
        <v>572</v>
      </c>
      <c r="E96" s="5" t="s">
        <v>573</v>
      </c>
      <c r="F96" s="5" t="s">
        <v>574</v>
      </c>
      <c r="G96" s="5" t="s">
        <v>190</v>
      </c>
      <c r="H96" s="6" t="s">
        <v>575</v>
      </c>
      <c r="I96" s="5"/>
      <c r="J96" s="5" t="s">
        <v>46</v>
      </c>
    </row>
    <row r="97" customFormat="false" ht="23.85" hidden="false" customHeight="false" outlineLevel="0" collapsed="false">
      <c r="A97" s="5" t="s">
        <v>576</v>
      </c>
      <c r="B97" s="5" t="s">
        <v>577</v>
      </c>
      <c r="C97" s="6" t="s">
        <v>578</v>
      </c>
      <c r="D97" s="6" t="s">
        <v>579</v>
      </c>
      <c r="E97" s="5" t="s">
        <v>580</v>
      </c>
      <c r="F97" s="5" t="s">
        <v>581</v>
      </c>
      <c r="G97" s="5" t="s">
        <v>190</v>
      </c>
      <c r="H97" s="6" t="s">
        <v>582</v>
      </c>
      <c r="I97" s="5"/>
      <c r="J97" s="5" t="s">
        <v>46</v>
      </c>
    </row>
    <row r="98" customFormat="false" ht="35.05" hidden="false" customHeight="false" outlineLevel="0" collapsed="false">
      <c r="A98" s="5" t="s">
        <v>583</v>
      </c>
      <c r="B98" s="5" t="s">
        <v>570</v>
      </c>
      <c r="C98" s="6" t="s">
        <v>584</v>
      </c>
      <c r="D98" s="6" t="s">
        <v>585</v>
      </c>
      <c r="E98" s="5" t="s">
        <v>567</v>
      </c>
      <c r="F98" s="5" t="s">
        <v>189</v>
      </c>
      <c r="G98" s="5" t="s">
        <v>190</v>
      </c>
      <c r="H98" s="5" t="s">
        <v>586</v>
      </c>
      <c r="I98" s="5" t="s">
        <v>587</v>
      </c>
      <c r="J98" s="5" t="s">
        <v>46</v>
      </c>
    </row>
    <row r="99" customFormat="false" ht="23.85" hidden="false" customHeight="false" outlineLevel="0" collapsed="false">
      <c r="A99" s="5" t="s">
        <v>588</v>
      </c>
      <c r="B99" s="5" t="s">
        <v>589</v>
      </c>
      <c r="C99" s="6" t="s">
        <v>590</v>
      </c>
      <c r="D99" s="6" t="s">
        <v>591</v>
      </c>
      <c r="E99" s="5" t="s">
        <v>592</v>
      </c>
      <c r="F99" s="5" t="s">
        <v>189</v>
      </c>
      <c r="G99" s="5" t="s">
        <v>190</v>
      </c>
      <c r="H99" s="5" t="s">
        <v>558</v>
      </c>
      <c r="I99" s="5" t="s">
        <v>593</v>
      </c>
      <c r="J99" s="5" t="s">
        <v>46</v>
      </c>
    </row>
    <row r="100" customFormat="false" ht="35.05" hidden="false" customHeight="false" outlineLevel="0" collapsed="false">
      <c r="A100" s="5" t="s">
        <v>594</v>
      </c>
      <c r="B100" s="5" t="s">
        <v>570</v>
      </c>
      <c r="C100" s="6" t="s">
        <v>595</v>
      </c>
      <c r="D100" s="6" t="s">
        <v>596</v>
      </c>
      <c r="E100" s="5" t="s">
        <v>557</v>
      </c>
      <c r="F100" s="5" t="s">
        <v>189</v>
      </c>
      <c r="G100" s="5" t="s">
        <v>190</v>
      </c>
      <c r="H100" s="5" t="s">
        <v>558</v>
      </c>
      <c r="I100" s="5"/>
      <c r="J100" s="5" t="s">
        <v>46</v>
      </c>
    </row>
    <row r="101" customFormat="false" ht="35.05" hidden="false" customHeight="false" outlineLevel="0" collapsed="false">
      <c r="A101" s="5" t="s">
        <v>597</v>
      </c>
      <c r="B101" s="5" t="s">
        <v>570</v>
      </c>
      <c r="C101" s="6" t="s">
        <v>598</v>
      </c>
      <c r="D101" s="6" t="s">
        <v>599</v>
      </c>
      <c r="E101" s="5" t="s">
        <v>600</v>
      </c>
      <c r="F101" s="5" t="s">
        <v>189</v>
      </c>
      <c r="G101" s="5" t="s">
        <v>190</v>
      </c>
      <c r="H101" s="6" t="s">
        <v>601</v>
      </c>
      <c r="I101" s="5"/>
      <c r="J101" s="5" t="s">
        <v>46</v>
      </c>
    </row>
    <row r="102" customFormat="false" ht="35.05" hidden="false" customHeight="false" outlineLevel="0" collapsed="false">
      <c r="A102" s="5" t="s">
        <v>602</v>
      </c>
      <c r="B102" s="5" t="s">
        <v>603</v>
      </c>
      <c r="C102" s="6" t="s">
        <v>604</v>
      </c>
      <c r="D102" s="6" t="s">
        <v>605</v>
      </c>
      <c r="E102" s="5" t="s">
        <v>592</v>
      </c>
      <c r="F102" s="5" t="s">
        <v>606</v>
      </c>
      <c r="G102" s="5" t="s">
        <v>190</v>
      </c>
      <c r="H102" s="5" t="s">
        <v>607</v>
      </c>
      <c r="I102" s="5"/>
      <c r="J102" s="5" t="s">
        <v>46</v>
      </c>
    </row>
    <row r="103" customFormat="false" ht="35.05" hidden="false" customHeight="false" outlineLevel="0" collapsed="false">
      <c r="A103" s="5" t="s">
        <v>608</v>
      </c>
      <c r="B103" s="5" t="s">
        <v>603</v>
      </c>
      <c r="C103" s="6" t="s">
        <v>609</v>
      </c>
      <c r="D103" s="6" t="s">
        <v>610</v>
      </c>
      <c r="E103" s="5" t="s">
        <v>611</v>
      </c>
      <c r="F103" s="5" t="s">
        <v>574</v>
      </c>
      <c r="G103" s="5" t="s">
        <v>190</v>
      </c>
      <c r="H103" s="6" t="s">
        <v>612</v>
      </c>
      <c r="I103" s="6" t="s">
        <v>613</v>
      </c>
      <c r="J103" s="5" t="s">
        <v>46</v>
      </c>
    </row>
    <row r="104" customFormat="false" ht="23.85" hidden="false" customHeight="false" outlineLevel="0" collapsed="false">
      <c r="A104" s="5" t="s">
        <v>614</v>
      </c>
      <c r="B104" s="5" t="s">
        <v>615</v>
      </c>
      <c r="C104" s="6" t="s">
        <v>616</v>
      </c>
      <c r="D104" s="6" t="s">
        <v>617</v>
      </c>
      <c r="E104" s="5" t="s">
        <v>618</v>
      </c>
      <c r="F104" s="5" t="s">
        <v>189</v>
      </c>
      <c r="G104" s="5" t="s">
        <v>190</v>
      </c>
      <c r="H104" s="5" t="s">
        <v>619</v>
      </c>
      <c r="I104" s="5"/>
      <c r="J104" s="5" t="s">
        <v>46</v>
      </c>
    </row>
    <row r="105" customFormat="false" ht="35.05" hidden="false" customHeight="false" outlineLevel="0" collapsed="false">
      <c r="A105" s="5" t="s">
        <v>620</v>
      </c>
      <c r="B105" s="5" t="s">
        <v>577</v>
      </c>
      <c r="C105" s="6" t="s">
        <v>621</v>
      </c>
      <c r="D105" s="6" t="s">
        <v>622</v>
      </c>
      <c r="E105" s="5" t="s">
        <v>623</v>
      </c>
      <c r="F105" s="5" t="s">
        <v>624</v>
      </c>
      <c r="G105" s="5" t="s">
        <v>190</v>
      </c>
      <c r="H105" s="5" t="s">
        <v>558</v>
      </c>
      <c r="I105" s="5"/>
      <c r="J105" s="5" t="s">
        <v>46</v>
      </c>
    </row>
    <row r="106" customFormat="false" ht="57.45" hidden="false" customHeight="false" outlineLevel="0" collapsed="false">
      <c r="A106" s="5" t="s">
        <v>625</v>
      </c>
      <c r="B106" s="5" t="s">
        <v>93</v>
      </c>
      <c r="C106" s="6" t="s">
        <v>626</v>
      </c>
      <c r="D106" s="6" t="s">
        <v>627</v>
      </c>
      <c r="E106" s="5" t="s">
        <v>154</v>
      </c>
      <c r="F106" s="5" t="s">
        <v>507</v>
      </c>
      <c r="G106" s="5" t="s">
        <v>260</v>
      </c>
      <c r="H106" s="6" t="s">
        <v>628</v>
      </c>
      <c r="I106" s="5"/>
      <c r="J106" s="5" t="s">
        <v>46</v>
      </c>
    </row>
    <row r="107" customFormat="false" ht="57.45" hidden="false" customHeight="false" outlineLevel="0" collapsed="false">
      <c r="A107" s="5" t="s">
        <v>629</v>
      </c>
      <c r="B107" s="5" t="s">
        <v>93</v>
      </c>
      <c r="C107" s="6" t="s">
        <v>630</v>
      </c>
      <c r="D107" s="6" t="s">
        <v>631</v>
      </c>
      <c r="E107" s="5" t="s">
        <v>632</v>
      </c>
      <c r="F107" s="5" t="s">
        <v>507</v>
      </c>
      <c r="G107" s="5" t="s">
        <v>260</v>
      </c>
      <c r="H107" s="5" t="s">
        <v>633</v>
      </c>
      <c r="I107" s="5"/>
      <c r="J107" s="5" t="s">
        <v>46</v>
      </c>
    </row>
    <row r="108" customFormat="false" ht="35.05" hidden="false" customHeight="false" outlineLevel="0" collapsed="false">
      <c r="A108" s="5" t="s">
        <v>634</v>
      </c>
      <c r="B108" s="5" t="s">
        <v>514</v>
      </c>
      <c r="C108" s="6" t="s">
        <v>635</v>
      </c>
      <c r="D108" s="6" t="s">
        <v>636</v>
      </c>
      <c r="E108" s="5" t="s">
        <v>372</v>
      </c>
      <c r="F108" s="5" t="s">
        <v>155</v>
      </c>
      <c r="G108" s="5" t="s">
        <v>285</v>
      </c>
      <c r="H108" s="6" t="s">
        <v>637</v>
      </c>
      <c r="I108" s="5"/>
      <c r="J108" s="5" t="s">
        <v>46</v>
      </c>
    </row>
    <row r="109" customFormat="false" ht="35.05" hidden="false" customHeight="false" outlineLevel="0" collapsed="false">
      <c r="A109" s="5" t="s">
        <v>638</v>
      </c>
      <c r="B109" s="5" t="s">
        <v>93</v>
      </c>
      <c r="C109" s="5" t="s">
        <v>639</v>
      </c>
      <c r="D109" s="6" t="s">
        <v>640</v>
      </c>
      <c r="E109" s="5" t="s">
        <v>641</v>
      </c>
      <c r="F109" s="5" t="s">
        <v>52</v>
      </c>
      <c r="G109" s="5" t="s">
        <v>53</v>
      </c>
      <c r="H109" s="5" t="s">
        <v>642</v>
      </c>
      <c r="I109" s="5" t="s">
        <v>643</v>
      </c>
      <c r="J109" s="5" t="s">
        <v>46</v>
      </c>
    </row>
    <row r="110" customFormat="false" ht="35.05" hidden="false" customHeight="false" outlineLevel="0" collapsed="false">
      <c r="A110" s="5" t="s">
        <v>644</v>
      </c>
      <c r="B110" s="5" t="s">
        <v>93</v>
      </c>
      <c r="C110" s="5" t="s">
        <v>288</v>
      </c>
      <c r="D110" s="6" t="s">
        <v>645</v>
      </c>
      <c r="E110" s="5" t="s">
        <v>133</v>
      </c>
      <c r="F110" s="5" t="s">
        <v>52</v>
      </c>
      <c r="G110" s="5" t="s">
        <v>53</v>
      </c>
      <c r="H110" s="5" t="s">
        <v>642</v>
      </c>
      <c r="I110" s="5"/>
      <c r="J110" s="5" t="s">
        <v>46</v>
      </c>
    </row>
    <row r="111" customFormat="false" ht="35.05" hidden="false" customHeight="false" outlineLevel="0" collapsed="false">
      <c r="A111" s="5" t="s">
        <v>646</v>
      </c>
      <c r="B111" s="5" t="s">
        <v>647</v>
      </c>
      <c r="C111" s="5" t="s">
        <v>648</v>
      </c>
      <c r="D111" s="6" t="s">
        <v>649</v>
      </c>
      <c r="E111" s="5" t="s">
        <v>650</v>
      </c>
      <c r="F111" s="5" t="s">
        <v>189</v>
      </c>
      <c r="G111" s="5" t="s">
        <v>190</v>
      </c>
      <c r="H111" s="5" t="s">
        <v>642</v>
      </c>
      <c r="I111" s="6" t="s">
        <v>651</v>
      </c>
      <c r="J111" s="5" t="s">
        <v>46</v>
      </c>
    </row>
    <row r="112" customFormat="false" ht="23.85" hidden="false" customHeight="false" outlineLevel="0" collapsed="false">
      <c r="A112" s="5" t="s">
        <v>652</v>
      </c>
      <c r="B112" s="5" t="s">
        <v>514</v>
      </c>
      <c r="C112" s="6" t="s">
        <v>653</v>
      </c>
      <c r="D112" s="6" t="s">
        <v>654</v>
      </c>
      <c r="E112" s="5" t="s">
        <v>161</v>
      </c>
      <c r="F112" s="5" t="s">
        <v>155</v>
      </c>
      <c r="G112" s="5" t="s">
        <v>285</v>
      </c>
      <c r="H112" s="5" t="s">
        <v>642</v>
      </c>
      <c r="I112" s="5"/>
      <c r="J112" s="5" t="s">
        <v>46</v>
      </c>
    </row>
    <row r="113" customFormat="false" ht="46.25" hidden="false" customHeight="false" outlineLevel="0" collapsed="false">
      <c r="A113" s="5" t="s">
        <v>655</v>
      </c>
      <c r="B113" s="5" t="s">
        <v>93</v>
      </c>
      <c r="C113" s="6" t="s">
        <v>656</v>
      </c>
      <c r="D113" s="6" t="s">
        <v>657</v>
      </c>
      <c r="E113" s="5" t="s">
        <v>658</v>
      </c>
      <c r="F113" s="5" t="s">
        <v>129</v>
      </c>
      <c r="G113" s="5" t="s">
        <v>260</v>
      </c>
      <c r="H113" s="5" t="s">
        <v>642</v>
      </c>
      <c r="I113" s="6" t="s">
        <v>659</v>
      </c>
      <c r="J113" s="5" t="s">
        <v>46</v>
      </c>
    </row>
    <row r="114" customFormat="false" ht="35.05" hidden="false" customHeight="false" outlineLevel="0" collapsed="false">
      <c r="A114" s="5" t="s">
        <v>660</v>
      </c>
      <c r="B114" s="5" t="s">
        <v>93</v>
      </c>
      <c r="C114" s="5" t="s">
        <v>297</v>
      </c>
      <c r="D114" s="6" t="s">
        <v>661</v>
      </c>
      <c r="E114" s="5" t="s">
        <v>165</v>
      </c>
      <c r="F114" s="5" t="s">
        <v>52</v>
      </c>
      <c r="G114" s="5" t="s">
        <v>53</v>
      </c>
      <c r="H114" s="5" t="s">
        <v>642</v>
      </c>
      <c r="I114" s="5"/>
      <c r="J114" s="5" t="s">
        <v>46</v>
      </c>
    </row>
    <row r="115" customFormat="false" ht="35.05" hidden="false" customHeight="false" outlineLevel="0" collapsed="false">
      <c r="A115" s="5" t="s">
        <v>662</v>
      </c>
      <c r="B115" s="5" t="s">
        <v>93</v>
      </c>
      <c r="C115" s="5" t="s">
        <v>663</v>
      </c>
      <c r="D115" s="6" t="s">
        <v>664</v>
      </c>
      <c r="E115" s="5" t="s">
        <v>665</v>
      </c>
      <c r="F115" s="5" t="s">
        <v>52</v>
      </c>
      <c r="G115" s="5" t="s">
        <v>53</v>
      </c>
      <c r="H115" s="5" t="s">
        <v>642</v>
      </c>
      <c r="I115" s="5"/>
      <c r="J115" s="5" t="s">
        <v>46</v>
      </c>
    </row>
    <row r="116" customFormat="false" ht="35.05" hidden="false" customHeight="false" outlineLevel="0" collapsed="false">
      <c r="A116" s="5" t="s">
        <v>666</v>
      </c>
      <c r="B116" s="5" t="s">
        <v>93</v>
      </c>
      <c r="C116" s="5" t="s">
        <v>303</v>
      </c>
      <c r="D116" s="6" t="s">
        <v>667</v>
      </c>
      <c r="E116" s="5" t="s">
        <v>668</v>
      </c>
      <c r="F116" s="5" t="s">
        <v>52</v>
      </c>
      <c r="G116" s="5" t="s">
        <v>53</v>
      </c>
      <c r="H116" s="5" t="s">
        <v>642</v>
      </c>
      <c r="I116" s="5"/>
      <c r="J116" s="5" t="s">
        <v>46</v>
      </c>
    </row>
    <row r="117" customFormat="false" ht="35.05" hidden="false" customHeight="false" outlineLevel="0" collapsed="false">
      <c r="A117" s="5" t="s">
        <v>669</v>
      </c>
      <c r="B117" s="5" t="s">
        <v>93</v>
      </c>
      <c r="C117" s="5" t="s">
        <v>670</v>
      </c>
      <c r="D117" s="6" t="s">
        <v>671</v>
      </c>
      <c r="E117" s="5" t="s">
        <v>148</v>
      </c>
      <c r="F117" s="5" t="s">
        <v>52</v>
      </c>
      <c r="G117" s="5" t="s">
        <v>53</v>
      </c>
      <c r="H117" s="5" t="s">
        <v>642</v>
      </c>
      <c r="I117" s="5"/>
      <c r="J117" s="5" t="s">
        <v>46</v>
      </c>
    </row>
    <row r="118" customFormat="false" ht="35.05" hidden="false" customHeight="false" outlineLevel="0" collapsed="false">
      <c r="A118" s="5" t="s">
        <v>672</v>
      </c>
      <c r="B118" s="5" t="s">
        <v>93</v>
      </c>
      <c r="C118" s="5" t="s">
        <v>310</v>
      </c>
      <c r="D118" s="6" t="s">
        <v>673</v>
      </c>
      <c r="E118" s="5" t="s">
        <v>143</v>
      </c>
      <c r="F118" s="5" t="s">
        <v>52</v>
      </c>
      <c r="G118" s="5" t="s">
        <v>53</v>
      </c>
      <c r="H118" s="5" t="s">
        <v>642</v>
      </c>
      <c r="I118" s="5"/>
      <c r="J118" s="5" t="s">
        <v>46</v>
      </c>
    </row>
    <row r="119" customFormat="false" ht="35.05" hidden="false" customHeight="false" outlineLevel="0" collapsed="false">
      <c r="A119" s="5" t="s">
        <v>674</v>
      </c>
      <c r="B119" s="5" t="s">
        <v>93</v>
      </c>
      <c r="C119" s="5" t="s">
        <v>112</v>
      </c>
      <c r="D119" s="6" t="s">
        <v>675</v>
      </c>
      <c r="E119" s="5" t="s">
        <v>506</v>
      </c>
      <c r="F119" s="5" t="s">
        <v>52</v>
      </c>
      <c r="G119" s="5" t="s">
        <v>53</v>
      </c>
      <c r="H119" s="5" t="s">
        <v>642</v>
      </c>
      <c r="I119" s="6" t="s">
        <v>676</v>
      </c>
      <c r="J119" s="5" t="s">
        <v>46</v>
      </c>
    </row>
    <row r="120" customFormat="false" ht="35.05" hidden="false" customHeight="false" outlineLevel="0" collapsed="false">
      <c r="A120" s="5" t="s">
        <v>677</v>
      </c>
      <c r="B120" s="5" t="s">
        <v>93</v>
      </c>
      <c r="C120" s="5" t="s">
        <v>320</v>
      </c>
      <c r="D120" s="6" t="s">
        <v>678</v>
      </c>
      <c r="E120" s="5" t="s">
        <v>632</v>
      </c>
      <c r="F120" s="5" t="s">
        <v>52</v>
      </c>
      <c r="G120" s="5" t="s">
        <v>53</v>
      </c>
      <c r="H120" s="5" t="s">
        <v>642</v>
      </c>
      <c r="I120" s="5"/>
      <c r="J120" s="5" t="s">
        <v>46</v>
      </c>
    </row>
    <row r="121" customFormat="false" ht="35.05" hidden="false" customHeight="false" outlineLevel="0" collapsed="false">
      <c r="A121" s="5" t="s">
        <v>679</v>
      </c>
      <c r="B121" s="5" t="s">
        <v>93</v>
      </c>
      <c r="C121" s="5" t="s">
        <v>680</v>
      </c>
      <c r="D121" s="6" t="s">
        <v>681</v>
      </c>
      <c r="E121" s="5" t="s">
        <v>372</v>
      </c>
      <c r="F121" s="5" t="s">
        <v>52</v>
      </c>
      <c r="G121" s="5" t="s">
        <v>53</v>
      </c>
      <c r="H121" s="5" t="s">
        <v>642</v>
      </c>
      <c r="I121" s="5"/>
      <c r="J121" s="5"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32"/>
    <col collapsed="false" customWidth="true" hidden="false" outlineLevel="0" max="5" min="5" style="0" width="28"/>
    <col collapsed="false" customWidth="true" hidden="false" outlineLevel="0" max="6" min="6" style="0" width="24"/>
    <col collapsed="false" customWidth="true" hidden="false" outlineLevel="0" max="7" min="7" style="0" width="28"/>
    <col collapsed="false" customWidth="true" hidden="false" outlineLevel="0" max="8" min="8" style="0" width="18"/>
    <col collapsed="false" customWidth="true" hidden="false" outlineLevel="0" max="9" min="9" style="0" width="22"/>
    <col collapsed="false" customWidth="true" hidden="false" outlineLevel="0" max="10" min="10" style="0" width="34"/>
    <col collapsed="false" customWidth="true" hidden="false" outlineLevel="0" max="11" min="11" style="0" width="48"/>
  </cols>
  <sheetData>
    <row r="1" customFormat="false" ht="15" hidden="false" customHeight="false" outlineLevel="0" collapsed="false">
      <c r="A1" s="4" t="s">
        <v>682</v>
      </c>
      <c r="B1" s="4" t="s">
        <v>683</v>
      </c>
      <c r="C1" s="4" t="s">
        <v>684</v>
      </c>
      <c r="D1" s="4" t="s">
        <v>685</v>
      </c>
      <c r="E1" s="4" t="s">
        <v>686</v>
      </c>
      <c r="F1" s="4" t="s">
        <v>687</v>
      </c>
      <c r="G1" s="4" t="s">
        <v>688</v>
      </c>
      <c r="H1" s="4" t="s">
        <v>689</v>
      </c>
      <c r="I1" s="4" t="s">
        <v>690</v>
      </c>
      <c r="J1" s="4" t="s">
        <v>691</v>
      </c>
      <c r="K1" s="4" t="s">
        <v>692</v>
      </c>
    </row>
    <row r="2" customFormat="false" ht="35.05" hidden="false" customHeight="false" outlineLevel="0" collapsed="false">
      <c r="A2" s="7" t="s">
        <v>693</v>
      </c>
      <c r="B2" s="8" t="s">
        <v>694</v>
      </c>
      <c r="C2" s="7" t="s">
        <v>695</v>
      </c>
      <c r="D2" s="8" t="s">
        <v>696</v>
      </c>
      <c r="E2" s="7" t="s">
        <v>697</v>
      </c>
      <c r="F2" s="8" t="s">
        <v>698</v>
      </c>
      <c r="G2" s="8" t="s">
        <v>699</v>
      </c>
      <c r="H2" s="7" t="s">
        <v>700</v>
      </c>
      <c r="I2" s="7" t="s">
        <v>700</v>
      </c>
      <c r="J2" s="8" t="s">
        <v>701</v>
      </c>
      <c r="K2" s="8" t="s">
        <v>702</v>
      </c>
    </row>
    <row r="3" customFormat="false" ht="23.85" hidden="false" customHeight="false" outlineLevel="0" collapsed="false">
      <c r="A3" s="7" t="s">
        <v>703</v>
      </c>
      <c r="B3" s="8" t="s">
        <v>704</v>
      </c>
      <c r="C3" s="7" t="s">
        <v>695</v>
      </c>
      <c r="D3" s="7" t="s">
        <v>705</v>
      </c>
      <c r="E3" s="7" t="s">
        <v>706</v>
      </c>
      <c r="F3" s="7" t="s">
        <v>707</v>
      </c>
      <c r="G3" s="7" t="s">
        <v>708</v>
      </c>
      <c r="H3" s="7" t="s">
        <v>709</v>
      </c>
      <c r="I3" s="8" t="s">
        <v>710</v>
      </c>
      <c r="J3" s="8" t="s">
        <v>711</v>
      </c>
      <c r="K3" s="8" t="s">
        <v>712</v>
      </c>
    </row>
    <row r="4" customFormat="false" ht="23.85" hidden="false" customHeight="false" outlineLevel="0" collapsed="false">
      <c r="A4" s="7" t="s">
        <v>713</v>
      </c>
      <c r="B4" s="8" t="s">
        <v>714</v>
      </c>
      <c r="C4" s="7" t="s">
        <v>695</v>
      </c>
      <c r="D4" s="7" t="s">
        <v>715</v>
      </c>
      <c r="E4" s="7" t="s">
        <v>716</v>
      </c>
      <c r="F4" s="7" t="s">
        <v>707</v>
      </c>
      <c r="G4" s="7" t="s">
        <v>707</v>
      </c>
      <c r="H4" s="7" t="s">
        <v>717</v>
      </c>
      <c r="I4" s="7" t="s">
        <v>718</v>
      </c>
      <c r="J4" s="7" t="s">
        <v>719</v>
      </c>
      <c r="K4" s="8" t="s">
        <v>720</v>
      </c>
    </row>
    <row r="5" customFormat="false" ht="15" hidden="false" customHeight="false" outlineLevel="0" collapsed="false">
      <c r="A5" s="7" t="s">
        <v>721</v>
      </c>
      <c r="B5" s="7" t="s">
        <v>722</v>
      </c>
      <c r="C5" s="7" t="s">
        <v>723</v>
      </c>
      <c r="D5" s="7" t="s">
        <v>724</v>
      </c>
      <c r="E5" s="7" t="s">
        <v>725</v>
      </c>
      <c r="F5" s="7" t="s">
        <v>726</v>
      </c>
      <c r="G5" s="7" t="s">
        <v>727</v>
      </c>
      <c r="H5" s="7" t="s">
        <v>728</v>
      </c>
      <c r="I5" s="7" t="s">
        <v>728</v>
      </c>
      <c r="J5" s="7" t="s">
        <v>729</v>
      </c>
      <c r="K5" s="7" t="s">
        <v>730</v>
      </c>
    </row>
    <row r="6" customFormat="false" ht="23.85" hidden="false" customHeight="false" outlineLevel="0" collapsed="false">
      <c r="A6" s="7" t="s">
        <v>731</v>
      </c>
      <c r="B6" s="8" t="s">
        <v>732</v>
      </c>
      <c r="C6" s="7" t="s">
        <v>695</v>
      </c>
      <c r="D6" s="8" t="s">
        <v>733</v>
      </c>
      <c r="E6" s="8" t="s">
        <v>734</v>
      </c>
      <c r="F6" s="7" t="s">
        <v>735</v>
      </c>
      <c r="G6" s="7" t="s">
        <v>736</v>
      </c>
      <c r="H6" s="7" t="s">
        <v>737</v>
      </c>
      <c r="I6" s="7" t="s">
        <v>738</v>
      </c>
      <c r="J6" s="7" t="s">
        <v>739</v>
      </c>
      <c r="K6" s="8" t="s">
        <v>740</v>
      </c>
    </row>
    <row r="7" customFormat="false" ht="23.85" hidden="false" customHeight="false" outlineLevel="0" collapsed="false">
      <c r="A7" s="7" t="s">
        <v>741</v>
      </c>
      <c r="B7" s="7" t="s">
        <v>742</v>
      </c>
      <c r="C7" s="7" t="s">
        <v>743</v>
      </c>
      <c r="D7" s="7" t="s">
        <v>744</v>
      </c>
      <c r="E7" s="7" t="s">
        <v>745</v>
      </c>
      <c r="F7" s="7" t="s">
        <v>745</v>
      </c>
      <c r="G7" s="7" t="s">
        <v>746</v>
      </c>
      <c r="H7" s="7" t="s">
        <v>746</v>
      </c>
      <c r="I7" s="7" t="s">
        <v>746</v>
      </c>
      <c r="J7" s="8" t="s">
        <v>747</v>
      </c>
      <c r="K7" s="7" t="s">
        <v>748</v>
      </c>
    </row>
    <row r="8" customFormat="false" ht="23.85" hidden="false" customHeight="false" outlineLevel="0" collapsed="false">
      <c r="A8" s="7" t="s">
        <v>749</v>
      </c>
      <c r="B8" s="8" t="s">
        <v>750</v>
      </c>
      <c r="C8" s="7" t="s">
        <v>695</v>
      </c>
      <c r="D8" s="7" t="s">
        <v>751</v>
      </c>
      <c r="E8" s="7" t="s">
        <v>752</v>
      </c>
      <c r="F8" s="7" t="s">
        <v>753</v>
      </c>
      <c r="G8" s="7" t="s">
        <v>752</v>
      </c>
      <c r="H8" s="7" t="s">
        <v>752</v>
      </c>
      <c r="I8" s="7" t="s">
        <v>752</v>
      </c>
      <c r="J8" s="8" t="s">
        <v>754</v>
      </c>
      <c r="K8" s="7" t="s">
        <v>755</v>
      </c>
    </row>
    <row r="9" customFormat="false" ht="23.85" hidden="false" customHeight="false" outlineLevel="0" collapsed="false">
      <c r="A9" s="7" t="s">
        <v>756</v>
      </c>
      <c r="B9" s="8" t="s">
        <v>757</v>
      </c>
      <c r="C9" s="7" t="s">
        <v>758</v>
      </c>
      <c r="D9" s="7" t="s">
        <v>759</v>
      </c>
      <c r="E9" s="7" t="s">
        <v>759</v>
      </c>
      <c r="F9" s="7" t="s">
        <v>759</v>
      </c>
      <c r="G9" s="7" t="s">
        <v>760</v>
      </c>
      <c r="H9" s="7" t="s">
        <v>759</v>
      </c>
      <c r="I9" s="7" t="s">
        <v>759</v>
      </c>
      <c r="J9" s="7" t="s">
        <v>719</v>
      </c>
      <c r="K9" s="8" t="s">
        <v>761</v>
      </c>
    </row>
    <row r="10" customFormat="false" ht="23.85" hidden="false" customHeight="false" outlineLevel="0" collapsed="false">
      <c r="A10" s="7" t="s">
        <v>762</v>
      </c>
      <c r="B10" s="7" t="s">
        <v>763</v>
      </c>
      <c r="C10" s="7" t="s">
        <v>764</v>
      </c>
      <c r="D10" s="7" t="s">
        <v>765</v>
      </c>
      <c r="E10" s="7" t="s">
        <v>766</v>
      </c>
      <c r="F10" s="7" t="s">
        <v>766</v>
      </c>
      <c r="G10" s="7" t="s">
        <v>766</v>
      </c>
      <c r="H10" s="7" t="s">
        <v>766</v>
      </c>
      <c r="I10" s="7" t="s">
        <v>766</v>
      </c>
      <c r="J10" s="8" t="s">
        <v>767</v>
      </c>
      <c r="K10" s="8" t="s">
        <v>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10"/>
    <col collapsed="false" customWidth="true" hidden="false" outlineLevel="0" max="5" min="5" style="0" width="30"/>
    <col collapsed="false" customWidth="true" hidden="false" outlineLevel="0" max="8" min="6" style="0" width="11"/>
    <col collapsed="false" customWidth="true" hidden="false" outlineLevel="0" max="10" min="9" style="0" width="10"/>
    <col collapsed="false" customWidth="true" hidden="false" outlineLevel="0" max="11" min="11" style="0" width="9"/>
    <col collapsed="false" customWidth="true" hidden="false" outlineLevel="0" max="12" min="12" style="0" width="12"/>
    <col collapsed="false" customWidth="true" hidden="false" outlineLevel="0" max="13" min="13" style="0" width="18"/>
    <col collapsed="false" customWidth="true" hidden="false" outlineLevel="0" max="14" min="14" style="0" width="48"/>
    <col collapsed="false" customWidth="true" hidden="false" outlineLevel="0" max="18" min="15" style="0" width="10"/>
    <col collapsed="false" customWidth="true" hidden="false" outlineLevel="0" max="19" min="19" style="0" width="9"/>
  </cols>
  <sheetData>
    <row r="1" customFormat="false" ht="46.25" hidden="false" customHeight="false" outlineLevel="0" collapsed="false">
      <c r="A1" s="4" t="s">
        <v>769</v>
      </c>
      <c r="B1" s="4" t="s">
        <v>762</v>
      </c>
      <c r="C1" s="4" t="s">
        <v>770</v>
      </c>
      <c r="D1" s="4" t="s">
        <v>693</v>
      </c>
      <c r="E1" s="4" t="s">
        <v>771</v>
      </c>
      <c r="F1" s="4" t="s">
        <v>703</v>
      </c>
      <c r="G1" s="4" t="s">
        <v>713</v>
      </c>
      <c r="H1" s="4" t="s">
        <v>721</v>
      </c>
      <c r="I1" s="4" t="s">
        <v>731</v>
      </c>
      <c r="J1" s="4" t="s">
        <v>741</v>
      </c>
      <c r="K1" s="4" t="s">
        <v>749</v>
      </c>
      <c r="L1" s="4" t="s">
        <v>27</v>
      </c>
      <c r="M1" s="4" t="s">
        <v>32</v>
      </c>
      <c r="N1" s="4" t="s">
        <v>772</v>
      </c>
      <c r="O1" s="4" t="s">
        <v>773</v>
      </c>
      <c r="P1" s="4" t="s">
        <v>774</v>
      </c>
      <c r="Q1" s="4" t="s">
        <v>775</v>
      </c>
      <c r="R1" s="4" t="s">
        <v>776</v>
      </c>
      <c r="S1" s="4" t="s">
        <v>777</v>
      </c>
    </row>
    <row r="2" customFormat="false" ht="15" hidden="false" customHeight="false" outlineLevel="0" collapsed="false">
      <c r="A2" s="5" t="s">
        <v>778</v>
      </c>
      <c r="B2" s="5" t="s">
        <v>779</v>
      </c>
      <c r="C2" s="5" t="s">
        <v>780</v>
      </c>
      <c r="D2" s="9" t="n">
        <v>22.8</v>
      </c>
      <c r="E2" s="5" t="s">
        <v>781</v>
      </c>
      <c r="F2" s="9" t="n">
        <v>77.9</v>
      </c>
      <c r="G2" s="9" t="n">
        <v>68.7</v>
      </c>
      <c r="H2" s="10" t="n">
        <v>147452</v>
      </c>
      <c r="I2" s="9" t="n">
        <v>16.1</v>
      </c>
      <c r="J2" s="5" t="n">
        <v>1740.2</v>
      </c>
      <c r="K2" s="9" t="n">
        <v>0.3</v>
      </c>
      <c r="L2" s="5" t="s">
        <v>405</v>
      </c>
      <c r="M2" s="5" t="s">
        <v>782</v>
      </c>
      <c r="N2" s="5" t="s">
        <v>783</v>
      </c>
      <c r="O2" s="11"/>
      <c r="P2" s="11"/>
      <c r="Q2" s="8" t="n">
        <f aca="false">IF(COUNTIFS(Wage_Hikes!$A:$A,A2,Wage_Hikes!$D:$D,B2)&gt;0,1,0)</f>
        <v>0</v>
      </c>
      <c r="R2" s="12" t="n">
        <f aca="false">IFERROR(AVERAGEIFS(FX_USDINR!$B:$B,FX_USDINR!$C:$C,B2),"")</f>
        <v>59.7891333333333</v>
      </c>
      <c r="S2" s="5" t="n">
        <v>0</v>
      </c>
    </row>
    <row r="3" customFormat="false" ht="15" hidden="false" customHeight="false" outlineLevel="0" collapsed="false">
      <c r="A3" s="5" t="s">
        <v>778</v>
      </c>
      <c r="B3" s="5" t="s">
        <v>784</v>
      </c>
      <c r="C3" s="5" t="s">
        <v>785</v>
      </c>
      <c r="D3" s="9" t="n">
        <v>22</v>
      </c>
      <c r="E3" s="5" t="s">
        <v>781</v>
      </c>
      <c r="F3" s="9" t="n">
        <v>79.4</v>
      </c>
      <c r="G3" s="9" t="n">
        <v>70</v>
      </c>
      <c r="H3" s="10" t="n">
        <v>154297</v>
      </c>
      <c r="I3" s="9" t="n">
        <v>16.5</v>
      </c>
      <c r="J3" s="5" t="n">
        <v>1771.5</v>
      </c>
      <c r="K3" s="9" t="n">
        <v>3</v>
      </c>
      <c r="L3" s="5" t="s">
        <v>405</v>
      </c>
      <c r="M3" s="5" t="s">
        <v>782</v>
      </c>
      <c r="N3" s="5" t="s">
        <v>783</v>
      </c>
      <c r="O3" s="13" t="n">
        <f aca="false">IF(AND(TRUE(),ISNUMBER(D3),ISNUMBER(D2)),(D3-D2)*100,"")</f>
        <v>-80.0000000000001</v>
      </c>
      <c r="P3" s="13" t="n">
        <f aca="false">IF(AND(ISNUMBER(F3),ISNUMBER(F2)),F3-F2,"")</f>
        <v>1.5</v>
      </c>
      <c r="Q3" s="8" t="n">
        <f aca="false">IF(COUNTIFS(Wage_Hikes!$A:$A,A3,Wage_Hikes!$D:$D,B3)&gt;0,1,0)</f>
        <v>0</v>
      </c>
      <c r="R3" s="12" t="n">
        <f aca="false">IFERROR(AVERAGEIFS(FX_USDINR!$B:$B,FX_USDINR!$C:$C,B3),"")</f>
        <v>60.6223333333333</v>
      </c>
      <c r="S3" s="5" t="n">
        <v>0</v>
      </c>
    </row>
    <row r="4" customFormat="false" ht="15" hidden="false" customHeight="false" outlineLevel="0" collapsed="false">
      <c r="A4" s="5" t="s">
        <v>778</v>
      </c>
      <c r="B4" s="5" t="s">
        <v>786</v>
      </c>
      <c r="C4" s="5" t="s">
        <v>787</v>
      </c>
      <c r="D4" s="9" t="n">
        <v>21.8</v>
      </c>
      <c r="E4" s="5" t="s">
        <v>781</v>
      </c>
      <c r="F4" s="9" t="n">
        <v>78.8</v>
      </c>
      <c r="G4" s="9" t="n">
        <v>68.5</v>
      </c>
      <c r="H4" s="10" t="n">
        <v>156866</v>
      </c>
      <c r="I4" s="9" t="n">
        <v>16.5</v>
      </c>
      <c r="J4" s="5" t="n">
        <v>1795.4</v>
      </c>
      <c r="K4" s="9" t="n">
        <v>3.7</v>
      </c>
      <c r="L4" s="5" t="s">
        <v>405</v>
      </c>
      <c r="M4" s="5" t="s">
        <v>782</v>
      </c>
      <c r="N4" s="5" t="s">
        <v>783</v>
      </c>
      <c r="O4" s="13" t="n">
        <f aca="false">IF(AND(TRUE(),ISNUMBER(D4),ISNUMBER(D3)),(D4-D3)*100,"")</f>
        <v>-19.9999999999999</v>
      </c>
      <c r="P4" s="13" t="n">
        <f aca="false">IF(AND(ISNUMBER(F4),ISNUMBER(F3)),F4-F3,"")</f>
        <v>-0.600000000000009</v>
      </c>
      <c r="Q4" s="8" t="n">
        <f aca="false">IF(COUNTIFS(Wage_Hikes!$A:$A,A4,Wage_Hikes!$D:$D,B4)&gt;0,1,0)</f>
        <v>0</v>
      </c>
      <c r="R4" s="12" t="n">
        <f aca="false">IFERROR(AVERAGEIFS(FX_USDINR!$B:$B,FX_USDINR!$C:$C,B4),"")</f>
        <v>61.9189</v>
      </c>
      <c r="S4" s="5" t="n">
        <v>0</v>
      </c>
    </row>
    <row r="5" customFormat="false" ht="15" hidden="false" customHeight="false" outlineLevel="0" collapsed="false">
      <c r="A5" s="5" t="s">
        <v>778</v>
      </c>
      <c r="B5" s="5" t="s">
        <v>788</v>
      </c>
      <c r="C5" s="5" t="s">
        <v>789</v>
      </c>
      <c r="D5" s="9" t="n">
        <v>22</v>
      </c>
      <c r="E5" s="5" t="s">
        <v>781</v>
      </c>
      <c r="F5" s="9" t="n">
        <v>80.5</v>
      </c>
      <c r="G5" s="9" t="n">
        <v>70.5</v>
      </c>
      <c r="H5" s="10" t="n">
        <v>158217</v>
      </c>
      <c r="I5" s="9" t="n">
        <v>16.5</v>
      </c>
      <c r="J5" s="5" t="n">
        <v>1774.5</v>
      </c>
      <c r="K5" s="9" t="n">
        <v>1.2</v>
      </c>
      <c r="L5" s="5" t="s">
        <v>790</v>
      </c>
      <c r="M5" s="5" t="s">
        <v>782</v>
      </c>
      <c r="N5" s="6" t="s">
        <v>791</v>
      </c>
      <c r="O5" s="13" t="n">
        <f aca="false">IF(AND(TRUE(),ISNUMBER(D5),ISNUMBER(D4)),(D5-D4)*100,"")</f>
        <v>19.9999999999999</v>
      </c>
      <c r="P5" s="13" t="n">
        <f aca="false">IF(AND(ISNUMBER(F5),ISNUMBER(F4)),F5-F4,"")</f>
        <v>1.7</v>
      </c>
      <c r="Q5" s="8" t="n">
        <f aca="false">IF(COUNTIFS(Wage_Hikes!$A:$A,A5,Wage_Hikes!$D:$D,B5)&gt;0,1,0)</f>
        <v>0</v>
      </c>
      <c r="R5" s="12" t="n">
        <f aca="false">IFERROR(AVERAGEIFS(FX_USDINR!$B:$B,FX_USDINR!$C:$C,B5),"")</f>
        <v>62.2003333333333</v>
      </c>
      <c r="S5" s="5" t="n">
        <v>0</v>
      </c>
    </row>
    <row r="6" customFormat="false" ht="15" hidden="false" customHeight="false" outlineLevel="0" collapsed="false">
      <c r="A6" s="5" t="s">
        <v>778</v>
      </c>
      <c r="B6" s="5" t="s">
        <v>792</v>
      </c>
      <c r="C6" s="5" t="s">
        <v>793</v>
      </c>
      <c r="D6" s="9" t="n">
        <v>21</v>
      </c>
      <c r="E6" s="5" t="s">
        <v>781</v>
      </c>
      <c r="F6" s="9" t="n">
        <v>81.9</v>
      </c>
      <c r="G6" s="9" t="n">
        <v>71.3</v>
      </c>
      <c r="H6" s="10" t="n">
        <v>161789</v>
      </c>
      <c r="I6" s="9" t="n">
        <v>16.4</v>
      </c>
      <c r="J6" s="5" t="n">
        <v>1794.1</v>
      </c>
      <c r="K6" s="9" t="n">
        <v>0.2</v>
      </c>
      <c r="L6" s="5" t="s">
        <v>411</v>
      </c>
      <c r="M6" s="5" t="s">
        <v>782</v>
      </c>
      <c r="N6" s="5" t="s">
        <v>783</v>
      </c>
      <c r="O6" s="13" t="n">
        <f aca="false">IF(AND(TRUE(),ISNUMBER(D6),ISNUMBER(D5)),(D6-D5)*100,"")</f>
        <v>-100</v>
      </c>
      <c r="P6" s="13" t="n">
        <f aca="false">IF(AND(ISNUMBER(F6),ISNUMBER(F5)),F6-F5,"")</f>
        <v>1.40000000000001</v>
      </c>
      <c r="Q6" s="8" t="n">
        <f aca="false">IF(COUNTIFS(Wage_Hikes!$A:$A,A6,Wage_Hikes!$D:$D,B6)&gt;0,1,0)</f>
        <v>0</v>
      </c>
      <c r="R6" s="12" t="n">
        <f aca="false">IFERROR(AVERAGEIFS(FX_USDINR!$B:$B,FX_USDINR!$C:$C,B6),"")</f>
        <v>63.3791</v>
      </c>
      <c r="S6" s="5" t="n">
        <v>0</v>
      </c>
    </row>
    <row r="7" customFormat="false" ht="15" hidden="false" customHeight="false" outlineLevel="0" collapsed="false">
      <c r="A7" s="5" t="s">
        <v>778</v>
      </c>
      <c r="B7" s="5" t="s">
        <v>794</v>
      </c>
      <c r="C7" s="5" t="s">
        <v>795</v>
      </c>
      <c r="D7" s="9" t="n">
        <v>20.7</v>
      </c>
      <c r="E7" s="5" t="s">
        <v>781</v>
      </c>
      <c r="F7" s="9" t="n">
        <v>82.3</v>
      </c>
      <c r="G7" s="9" t="n">
        <v>69.5</v>
      </c>
      <c r="H7" s="10" t="n">
        <v>168396</v>
      </c>
      <c r="I7" s="9" t="n">
        <v>16.4</v>
      </c>
      <c r="J7" s="5" t="n">
        <v>1831.9</v>
      </c>
      <c r="K7" s="9" t="n">
        <v>3.1</v>
      </c>
      <c r="L7" s="5" t="s">
        <v>411</v>
      </c>
      <c r="M7" s="5" t="s">
        <v>782</v>
      </c>
      <c r="N7" s="5" t="s">
        <v>783</v>
      </c>
      <c r="O7" s="13" t="n">
        <f aca="false">IF(AND(TRUE(),ISNUMBER(D7),ISNUMBER(D6)),(D7-D6)*100,"")</f>
        <v>-30.0000000000001</v>
      </c>
      <c r="P7" s="13" t="n">
        <f aca="false">IF(AND(ISNUMBER(F7),ISNUMBER(F6)),F7-F6,"")</f>
        <v>0.399999999999992</v>
      </c>
      <c r="Q7" s="8" t="n">
        <f aca="false">IF(COUNTIFS(Wage_Hikes!$A:$A,A7,Wage_Hikes!$D:$D,B7)&gt;0,1,0)</f>
        <v>0</v>
      </c>
      <c r="R7" s="12" t="n">
        <f aca="false">IFERROR(AVERAGEIFS(FX_USDINR!$B:$B,FX_USDINR!$C:$C,B7),"")</f>
        <v>64.9561</v>
      </c>
      <c r="S7" s="5" t="n">
        <v>0</v>
      </c>
    </row>
    <row r="8" customFormat="false" ht="15" hidden="false" customHeight="false" outlineLevel="0" collapsed="false">
      <c r="A8" s="5" t="s">
        <v>778</v>
      </c>
      <c r="B8" s="5" t="s">
        <v>502</v>
      </c>
      <c r="C8" s="5" t="s">
        <v>796</v>
      </c>
      <c r="D8" s="9" t="n">
        <v>20.2</v>
      </c>
      <c r="E8" s="5" t="s">
        <v>781</v>
      </c>
      <c r="F8" s="9" t="n">
        <v>78</v>
      </c>
      <c r="G8" s="9" t="n">
        <v>66.4</v>
      </c>
      <c r="H8" s="10" t="n">
        <v>170664</v>
      </c>
      <c r="I8" s="9" t="n">
        <v>16.3</v>
      </c>
      <c r="J8" s="5" t="n">
        <v>1838.3</v>
      </c>
      <c r="K8" s="9" t="n">
        <v>1.4</v>
      </c>
      <c r="L8" s="5" t="s">
        <v>411</v>
      </c>
      <c r="M8" s="5" t="s">
        <v>782</v>
      </c>
      <c r="N8" s="5" t="s">
        <v>783</v>
      </c>
      <c r="O8" s="13" t="n">
        <f aca="false">IF(AND(TRUE(),ISNUMBER(D8),ISNUMBER(D7)),(D8-D7)*100,"")</f>
        <v>-50</v>
      </c>
      <c r="P8" s="13" t="n">
        <f aca="false">IF(AND(ISNUMBER(F8),ISNUMBER(F7)),F8-F7,"")</f>
        <v>-4.3</v>
      </c>
      <c r="Q8" s="8" t="n">
        <f aca="false">IF(COUNTIFS(Wage_Hikes!$A:$A,A8,Wage_Hikes!$D:$D,B8)&gt;0,1,0)</f>
        <v>0</v>
      </c>
      <c r="R8" s="12" t="n">
        <f aca="false">IFERROR(AVERAGEIFS(FX_USDINR!$B:$B,FX_USDINR!$C:$C,B8),"")</f>
        <v>65.8761666666667</v>
      </c>
      <c r="S8" s="5" t="n">
        <v>0</v>
      </c>
    </row>
    <row r="9" customFormat="false" ht="23.85" hidden="false" customHeight="false" outlineLevel="0" collapsed="false">
      <c r="A9" s="5" t="s">
        <v>778</v>
      </c>
      <c r="B9" s="5" t="s">
        <v>797</v>
      </c>
      <c r="C9" s="5" t="s">
        <v>798</v>
      </c>
      <c r="D9" s="9" t="n">
        <v>20.1</v>
      </c>
      <c r="E9" s="5" t="s">
        <v>781</v>
      </c>
      <c r="F9" s="9" t="n">
        <v>77.5</v>
      </c>
      <c r="G9" s="9" t="n">
        <v>68.1</v>
      </c>
      <c r="H9" s="10" t="n">
        <v>172912</v>
      </c>
      <c r="I9" s="9" t="n">
        <v>16.1</v>
      </c>
      <c r="J9" s="5" t="n">
        <v>1882</v>
      </c>
      <c r="K9" s="9" t="n">
        <v>2.7</v>
      </c>
      <c r="L9" s="5" t="s">
        <v>411</v>
      </c>
      <c r="M9" s="5" t="s">
        <v>782</v>
      </c>
      <c r="N9" s="6" t="s">
        <v>799</v>
      </c>
      <c r="O9" s="13" t="n">
        <f aca="false">IF(AND(TRUE(),ISNUMBER(D9),ISNUMBER(D8)),(D9-D8)*100,"")</f>
        <v>-9.99999999999979</v>
      </c>
      <c r="P9" s="13" t="n">
        <f aca="false">IF(AND(ISNUMBER(F9),ISNUMBER(F8)),F9-F8,"")</f>
        <v>-0.5</v>
      </c>
      <c r="Q9" s="8" t="n">
        <f aca="false">IF(COUNTIFS(Wage_Hikes!$A:$A,A9,Wage_Hikes!$D:$D,B9)&gt;0,1,0)</f>
        <v>0</v>
      </c>
      <c r="R9" s="12" t="n">
        <f aca="false">IFERROR(AVERAGEIFS(FX_USDINR!$B:$B,FX_USDINR!$C:$C,B9),"")</f>
        <v>67.4878666666667</v>
      </c>
      <c r="S9" s="5" t="n">
        <v>0</v>
      </c>
    </row>
    <row r="10" customFormat="false" ht="15" hidden="false" customHeight="false" outlineLevel="0" collapsed="false">
      <c r="A10" s="5" t="s">
        <v>778</v>
      </c>
      <c r="B10" s="5" t="s">
        <v>800</v>
      </c>
      <c r="C10" s="5" t="s">
        <v>801</v>
      </c>
      <c r="D10" s="9" t="n">
        <v>17.8</v>
      </c>
      <c r="E10" s="5" t="s">
        <v>781</v>
      </c>
      <c r="F10" s="9" t="n">
        <v>79.7</v>
      </c>
      <c r="G10" s="9" t="n">
        <v>69.9</v>
      </c>
      <c r="H10" s="10" t="n">
        <v>158272</v>
      </c>
      <c r="I10" s="9" t="n">
        <v>16.5</v>
      </c>
      <c r="J10" s="5" t="n">
        <v>1930.8</v>
      </c>
      <c r="K10" s="9" t="n">
        <v>2</v>
      </c>
      <c r="L10" s="5" t="s">
        <v>417</v>
      </c>
      <c r="M10" s="5" t="s">
        <v>782</v>
      </c>
      <c r="N10" s="6" t="s">
        <v>802</v>
      </c>
      <c r="O10" s="13" t="n">
        <f aca="false">IF(AND(TRUE(),ISNUMBER(D10),ISNUMBER(D9)),(D10-D9)*100,"")</f>
        <v>-230</v>
      </c>
      <c r="P10" s="13" t="n">
        <f aca="false">IF(AND(ISNUMBER(F10),ISNUMBER(F9)),F10-F9,"")</f>
        <v>2.2</v>
      </c>
      <c r="Q10" s="8" t="n">
        <f aca="false">IF(COUNTIFS(Wage_Hikes!$A:$A,A10,Wage_Hikes!$D:$D,B10)&gt;0,1,0)</f>
        <v>0</v>
      </c>
      <c r="R10" s="12" t="n">
        <f aca="false">IFERROR(AVERAGEIFS(FX_USDINR!$B:$B,FX_USDINR!$C:$C,B10),"")</f>
        <v>66.8589666666667</v>
      </c>
      <c r="S10" s="5" t="n">
        <v>0</v>
      </c>
    </row>
    <row r="11" customFormat="false" ht="15" hidden="false" customHeight="false" outlineLevel="0" collapsed="false">
      <c r="A11" s="5" t="s">
        <v>778</v>
      </c>
      <c r="B11" s="5" t="s">
        <v>803</v>
      </c>
      <c r="C11" s="5" t="s">
        <v>804</v>
      </c>
      <c r="D11" s="9" t="n">
        <v>17.8</v>
      </c>
      <c r="E11" s="5" t="s">
        <v>781</v>
      </c>
      <c r="F11" s="9" t="n">
        <v>82.8</v>
      </c>
      <c r="G11" s="9" t="n">
        <v>71.2</v>
      </c>
      <c r="H11" s="10" t="n">
        <v>159791</v>
      </c>
      <c r="I11" s="9" t="n">
        <v>16.6</v>
      </c>
      <c r="J11" s="5" t="n">
        <v>1916.3</v>
      </c>
      <c r="K11" s="9" t="n">
        <v>0.9</v>
      </c>
      <c r="L11" s="5" t="s">
        <v>417</v>
      </c>
      <c r="M11" s="5" t="s">
        <v>782</v>
      </c>
      <c r="N11" s="5"/>
      <c r="O11" s="13" t="n">
        <f aca="false">IF(AND(TRUE(),ISNUMBER(D11),ISNUMBER(D10)),(D11-D10)*100,"")</f>
        <v>0</v>
      </c>
      <c r="P11" s="13" t="n">
        <f aca="false">IF(AND(ISNUMBER(F11),ISNUMBER(F10)),F11-F10,"")</f>
        <v>3.09999999999999</v>
      </c>
      <c r="Q11" s="8" t="n">
        <f aca="false">IF(COUNTIFS(Wage_Hikes!$A:$A,A11,Wage_Hikes!$D:$D,B11)&gt;0,1,0)</f>
        <v>0</v>
      </c>
      <c r="R11" s="12" t="n">
        <f aca="false">IFERROR(AVERAGEIFS(FX_USDINR!$B:$B,FX_USDINR!$C:$C,B11),"")</f>
        <v>66.9251</v>
      </c>
      <c r="S11" s="5" t="n">
        <v>0</v>
      </c>
    </row>
    <row r="12" customFormat="false" ht="15" hidden="false" customHeight="false" outlineLevel="0" collapsed="false">
      <c r="A12" s="5" t="s">
        <v>778</v>
      </c>
      <c r="B12" s="5" t="s">
        <v>805</v>
      </c>
      <c r="C12" s="5" t="s">
        <v>806</v>
      </c>
      <c r="D12" s="9" t="n">
        <v>18.3</v>
      </c>
      <c r="E12" s="5" t="s">
        <v>781</v>
      </c>
      <c r="F12" s="9" t="n">
        <v>81.9</v>
      </c>
      <c r="G12" s="9" t="n">
        <v>71.6</v>
      </c>
      <c r="H12" s="10" t="n">
        <v>164176</v>
      </c>
      <c r="I12" s="9" t="n">
        <v>16.3</v>
      </c>
      <c r="J12" s="5" t="n">
        <v>1902.8</v>
      </c>
      <c r="K12" s="9" t="n">
        <v>0.6</v>
      </c>
      <c r="L12" s="5" t="s">
        <v>417</v>
      </c>
      <c r="M12" s="5" t="s">
        <v>782</v>
      </c>
      <c r="N12" s="5"/>
      <c r="O12" s="13" t="n">
        <f aca="false">IF(AND(TRUE(),ISNUMBER(D12),ISNUMBER(D11)),(D12-D11)*100,"")</f>
        <v>50</v>
      </c>
      <c r="P12" s="13" t="n">
        <f aca="false">IF(AND(ISNUMBER(F12),ISNUMBER(F11)),F12-F11,"")</f>
        <v>-0.899999999999992</v>
      </c>
      <c r="Q12" s="8" t="n">
        <f aca="false">IF(COUNTIFS(Wage_Hikes!$A:$A,A12,Wage_Hikes!$D:$D,B12)&gt;0,1,0)</f>
        <v>0</v>
      </c>
      <c r="R12" s="12" t="n">
        <f aca="false">IFERROR(AVERAGEIFS(FX_USDINR!$B:$B,FX_USDINR!$C:$C,B12),"")</f>
        <v>67.3954</v>
      </c>
      <c r="S12" s="5" t="n">
        <v>0</v>
      </c>
    </row>
    <row r="13" customFormat="false" ht="15" hidden="false" customHeight="false" outlineLevel="0" collapsed="false">
      <c r="A13" s="5" t="s">
        <v>778</v>
      </c>
      <c r="B13" s="5" t="s">
        <v>807</v>
      </c>
      <c r="C13" s="5" t="s">
        <v>808</v>
      </c>
      <c r="D13" s="9" t="n">
        <v>18.3</v>
      </c>
      <c r="E13" s="5" t="s">
        <v>781</v>
      </c>
      <c r="F13" s="9" t="n">
        <v>84.8</v>
      </c>
      <c r="G13" s="9" t="n">
        <v>73.1</v>
      </c>
      <c r="H13" s="10" t="n">
        <v>165481</v>
      </c>
      <c r="I13" s="9" t="n">
        <v>16.3</v>
      </c>
      <c r="J13" s="5" t="n">
        <v>1954.6</v>
      </c>
      <c r="K13" s="9" t="n">
        <v>1.7</v>
      </c>
      <c r="L13" s="5" t="s">
        <v>809</v>
      </c>
      <c r="M13" s="5" t="s">
        <v>782</v>
      </c>
      <c r="N13" s="5" t="s">
        <v>810</v>
      </c>
      <c r="O13" s="13" t="n">
        <f aca="false">IF(AND(TRUE(),ISNUMBER(D13),ISNUMBER(D12)),(D13-D12)*100,"")</f>
        <v>0</v>
      </c>
      <c r="P13" s="13" t="n">
        <f aca="false">IF(AND(ISNUMBER(F13),ISNUMBER(F12)),F13-F12,"")</f>
        <v>2.89999999999999</v>
      </c>
      <c r="Q13" s="8" t="n">
        <f aca="false">IF(COUNTIFS(Wage_Hikes!$A:$A,A13,Wage_Hikes!$D:$D,B13)&gt;0,1,0)</f>
        <v>0</v>
      </c>
      <c r="R13" s="12" t="n">
        <f aca="false">IFERROR(AVERAGEIFS(FX_USDINR!$B:$B,FX_USDINR!$C:$C,B13),"")</f>
        <v>66.9403</v>
      </c>
      <c r="S13" s="5" t="n">
        <v>0</v>
      </c>
    </row>
    <row r="14" customFormat="false" ht="15" hidden="false" customHeight="false" outlineLevel="0" collapsed="false">
      <c r="A14" s="5" t="s">
        <v>778</v>
      </c>
      <c r="B14" s="5" t="s">
        <v>811</v>
      </c>
      <c r="C14" s="5" t="s">
        <v>812</v>
      </c>
      <c r="D14" s="9" t="n">
        <v>16.8</v>
      </c>
      <c r="E14" s="5" t="s">
        <v>781</v>
      </c>
      <c r="F14" s="9" t="n">
        <v>82.1</v>
      </c>
      <c r="G14" s="9" t="n">
        <v>72</v>
      </c>
      <c r="H14" s="10" t="n">
        <v>166790</v>
      </c>
      <c r="I14" s="9" t="n">
        <v>15.9</v>
      </c>
      <c r="J14" s="5" t="n">
        <v>1971.7</v>
      </c>
      <c r="K14" s="9" t="n">
        <v>0.3</v>
      </c>
      <c r="L14" s="5" t="s">
        <v>423</v>
      </c>
      <c r="M14" s="5" t="s">
        <v>782</v>
      </c>
      <c r="N14" s="5"/>
      <c r="O14" s="13" t="n">
        <f aca="false">IF(AND(TRUE(),ISNUMBER(D14),ISNUMBER(D13)),(D14-D13)*100,"")</f>
        <v>-150</v>
      </c>
      <c r="P14" s="13" t="n">
        <f aca="false">IF(AND(ISNUMBER(F14),ISNUMBER(F13)),F14-F13,"")</f>
        <v>-2.7</v>
      </c>
      <c r="Q14" s="8" t="n">
        <f aca="false">IF(COUNTIFS(Wage_Hikes!$A:$A,A14,Wage_Hikes!$D:$D,B14)&gt;0,1,0)</f>
        <v>0</v>
      </c>
      <c r="R14" s="12" t="n">
        <f aca="false">IFERROR(AVERAGEIFS(FX_USDINR!$B:$B,FX_USDINR!$C:$C,B14),"")</f>
        <v>64.4679</v>
      </c>
      <c r="S14" s="5" t="n">
        <v>0</v>
      </c>
    </row>
    <row r="15" customFormat="false" ht="15" hidden="false" customHeight="false" outlineLevel="0" collapsed="false">
      <c r="A15" s="5" t="s">
        <v>778</v>
      </c>
      <c r="B15" s="5" t="s">
        <v>813</v>
      </c>
      <c r="C15" s="5" t="s">
        <v>814</v>
      </c>
      <c r="D15" s="9" t="n">
        <v>17.3</v>
      </c>
      <c r="E15" s="5" t="s">
        <v>781</v>
      </c>
      <c r="F15" s="9" t="n">
        <v>82.5</v>
      </c>
      <c r="G15" s="9" t="n">
        <v>72.9</v>
      </c>
      <c r="H15" s="10" t="n">
        <v>163759</v>
      </c>
      <c r="I15" s="9" t="n">
        <v>15.7</v>
      </c>
      <c r="J15" s="5" t="n">
        <v>2013.5</v>
      </c>
      <c r="K15" s="9" t="n">
        <v>0.3</v>
      </c>
      <c r="L15" s="5" t="s">
        <v>423</v>
      </c>
      <c r="M15" s="5" t="s">
        <v>782</v>
      </c>
      <c r="N15" s="5"/>
      <c r="O15" s="13" t="n">
        <f aca="false">IF(AND(TRUE(),ISNUMBER(D15),ISNUMBER(D14)),(D15-D14)*100,"")</f>
        <v>50</v>
      </c>
      <c r="P15" s="13" t="n">
        <f aca="false">IF(AND(ISNUMBER(F15),ISNUMBER(F14)),F15-F14,"")</f>
        <v>0.400000000000006</v>
      </c>
      <c r="Q15" s="8" t="n">
        <f aca="false">IF(COUNTIFS(Wage_Hikes!$A:$A,A15,Wage_Hikes!$D:$D,B15)&gt;0,1,0)</f>
        <v>0</v>
      </c>
      <c r="R15" s="12" t="n">
        <f aca="false">IFERROR(AVERAGEIFS(FX_USDINR!$B:$B,FX_USDINR!$C:$C,B15),"")</f>
        <v>64.2899333333333</v>
      </c>
      <c r="S15" s="5" t="n">
        <v>0</v>
      </c>
    </row>
    <row r="16" customFormat="false" ht="15" hidden="false" customHeight="false" outlineLevel="0" collapsed="false">
      <c r="A16" s="5" t="s">
        <v>778</v>
      </c>
      <c r="B16" s="5" t="s">
        <v>815</v>
      </c>
      <c r="C16" s="5" t="s">
        <v>816</v>
      </c>
      <c r="D16" s="9" t="n">
        <v>14.8</v>
      </c>
      <c r="E16" s="5" t="s">
        <v>781</v>
      </c>
      <c r="F16" s="9" t="n">
        <v>81.9</v>
      </c>
      <c r="G16" s="9" t="n">
        <v>71</v>
      </c>
      <c r="H16" s="10" t="n">
        <v>162553</v>
      </c>
      <c r="I16" s="9" t="n">
        <v>15.9</v>
      </c>
      <c r="J16" s="5" t="n">
        <v>2013</v>
      </c>
      <c r="K16" s="9" t="n">
        <v>0.9</v>
      </c>
      <c r="L16" s="5" t="s">
        <v>423</v>
      </c>
      <c r="M16" s="5" t="s">
        <v>782</v>
      </c>
      <c r="N16" s="6" t="s">
        <v>817</v>
      </c>
      <c r="O16" s="13" t="n">
        <f aca="false">IF(AND(TRUE(),ISNUMBER(D16),ISNUMBER(D15)),(D16-D15)*100,"")</f>
        <v>-250</v>
      </c>
      <c r="P16" s="13" t="n">
        <f aca="false">IF(AND(ISNUMBER(F16),ISNUMBER(F15)),F16-F15,"")</f>
        <v>-0.599999999999994</v>
      </c>
      <c r="Q16" s="8" t="n">
        <f aca="false">IF(COUNTIFS(Wage_Hikes!$A:$A,A16,Wage_Hikes!$D:$D,B16)&gt;0,1,0)</f>
        <v>0</v>
      </c>
      <c r="R16" s="12" t="n">
        <f aca="false">IFERROR(AVERAGEIFS(FX_USDINR!$B:$B,FX_USDINR!$C:$C,B16),"")</f>
        <v>64.7079</v>
      </c>
      <c r="S16" s="5" t="n">
        <v>1</v>
      </c>
    </row>
    <row r="17" customFormat="false" ht="35.05" hidden="false" customHeight="false" outlineLevel="0" collapsed="false">
      <c r="A17" s="5" t="s">
        <v>778</v>
      </c>
      <c r="B17" s="5" t="s">
        <v>471</v>
      </c>
      <c r="C17" s="5" t="s">
        <v>818</v>
      </c>
      <c r="D17" s="9" t="n">
        <v>14.4</v>
      </c>
      <c r="E17" s="5" t="s">
        <v>781</v>
      </c>
      <c r="F17" s="9" t="n">
        <v>83.4</v>
      </c>
      <c r="G17" s="9" t="n">
        <v>73.1</v>
      </c>
      <c r="H17" s="10" t="n">
        <v>163827</v>
      </c>
      <c r="I17" s="9" t="n">
        <v>16.6</v>
      </c>
      <c r="J17" s="5" t="n">
        <v>2062</v>
      </c>
      <c r="K17" s="9" t="n">
        <v>1.1</v>
      </c>
      <c r="L17" s="5" t="s">
        <v>423</v>
      </c>
      <c r="M17" s="5" t="s">
        <v>782</v>
      </c>
      <c r="N17" s="6" t="s">
        <v>819</v>
      </c>
      <c r="O17" s="13" t="n">
        <f aca="false">IF(AND(TRUE(),ISNUMBER(D17),ISNUMBER(D16)),(D17-D16)*100,"")</f>
        <v>-40</v>
      </c>
      <c r="P17" s="13" t="n">
        <f aca="false">IF(AND(ISNUMBER(F17),ISNUMBER(F16)),F17-F16,"")</f>
        <v>1.5</v>
      </c>
      <c r="Q17" s="8" t="n">
        <f aca="false">IF(COUNTIFS(Wage_Hikes!$A:$A,A17,Wage_Hikes!$D:$D,B17)&gt;0,1,0)</f>
        <v>0</v>
      </c>
      <c r="R17" s="12" t="n">
        <f aca="false">IFERROR(AVERAGEIFS(FX_USDINR!$B:$B,FX_USDINR!$C:$C,B17),"")</f>
        <v>64.3735666666667</v>
      </c>
      <c r="S17" s="5" t="n">
        <v>1</v>
      </c>
    </row>
    <row r="18" customFormat="false" ht="15" hidden="false" customHeight="false" outlineLevel="0" collapsed="false">
      <c r="A18" s="5" t="s">
        <v>778</v>
      </c>
      <c r="B18" s="5" t="s">
        <v>820</v>
      </c>
      <c r="C18" s="5" t="s">
        <v>821</v>
      </c>
      <c r="D18" s="9" t="n">
        <v>17.6</v>
      </c>
      <c r="E18" s="5" t="s">
        <v>781</v>
      </c>
      <c r="F18" s="9" t="n">
        <v>85.2</v>
      </c>
      <c r="G18" s="9" t="n">
        <v>74.5</v>
      </c>
      <c r="H18" s="10" t="n">
        <v>160846</v>
      </c>
      <c r="I18" s="9" t="n">
        <v>17.1</v>
      </c>
      <c r="J18" s="5" t="n">
        <v>1988.8</v>
      </c>
      <c r="K18" s="9" t="n">
        <v>0.2</v>
      </c>
      <c r="L18" s="5" t="s">
        <v>429</v>
      </c>
      <c r="M18" s="5" t="s">
        <v>782</v>
      </c>
      <c r="N18" s="5" t="s">
        <v>822</v>
      </c>
      <c r="O18" s="13" t="n">
        <f aca="false">IF(AND(TRUE(),ISNUMBER(D18),ISNUMBER(D17)),(D18-D17)*100,"")</f>
        <v>320</v>
      </c>
      <c r="P18" s="13" t="n">
        <f aca="false">IF(AND(ISNUMBER(F18),ISNUMBER(F17)),F18-F17,"")</f>
        <v>1.8</v>
      </c>
      <c r="Q18" s="8" t="n">
        <f aca="false">IF(COUNTIFS(Wage_Hikes!$A:$A,A18,Wage_Hikes!$D:$D,B18)&gt;0,1,0)</f>
        <v>0</v>
      </c>
      <c r="R18" s="12" t="n">
        <f aca="false">IFERROR(AVERAGEIFS(FX_USDINR!$B:$B,FX_USDINR!$C:$C,B18),"")</f>
        <v>66.9909666666667</v>
      </c>
      <c r="S18" s="5" t="n">
        <v>0</v>
      </c>
    </row>
    <row r="19" customFormat="false" ht="23.85" hidden="false" customHeight="false" outlineLevel="0" collapsed="false">
      <c r="A19" s="5" t="s">
        <v>778</v>
      </c>
      <c r="B19" s="5" t="s">
        <v>476</v>
      </c>
      <c r="C19" s="5" t="s">
        <v>823</v>
      </c>
      <c r="D19" s="9" t="n">
        <v>15</v>
      </c>
      <c r="E19" s="5" t="s">
        <v>781</v>
      </c>
      <c r="F19" s="9" t="n">
        <v>85.5</v>
      </c>
      <c r="G19" s="9" t="n">
        <v>74.4</v>
      </c>
      <c r="H19" s="10" t="n">
        <v>171451</v>
      </c>
      <c r="I19" s="9" t="n">
        <v>17.5</v>
      </c>
      <c r="J19" s="5" t="n">
        <v>2009.5</v>
      </c>
      <c r="K19" s="9" t="n">
        <v>3</v>
      </c>
      <c r="L19" s="5" t="s">
        <v>824</v>
      </c>
      <c r="M19" s="5" t="s">
        <v>782</v>
      </c>
      <c r="N19" s="6" t="s">
        <v>825</v>
      </c>
      <c r="O19" s="13" t="n">
        <f aca="false">IF(AND(TRUE(),ISNUMBER(D19),ISNUMBER(D18)),(D19-D18)*100,"")</f>
        <v>-260</v>
      </c>
      <c r="P19" s="13" t="n">
        <f aca="false">IF(AND(ISNUMBER(F19),ISNUMBER(F18)),F19-F18,"")</f>
        <v>0.299999999999997</v>
      </c>
      <c r="Q19" s="8" t="n">
        <f aca="false">IF(COUNTIFS(Wage_Hikes!$A:$A,A19,Wage_Hikes!$D:$D,B19)&gt;0,1,0)</f>
        <v>0</v>
      </c>
      <c r="R19" s="12" t="n">
        <f aca="false">IFERROR(AVERAGEIFS(FX_USDINR!$B:$B,FX_USDINR!$C:$C,B19),"")</f>
        <v>70.1987666666667</v>
      </c>
      <c r="S19" s="5" t="n">
        <v>1</v>
      </c>
    </row>
    <row r="20" customFormat="false" ht="15" hidden="false" customHeight="false" outlineLevel="0" collapsed="false">
      <c r="A20" s="5" t="s">
        <v>778</v>
      </c>
      <c r="B20" s="5" t="s">
        <v>439</v>
      </c>
      <c r="C20" s="5" t="s">
        <v>826</v>
      </c>
      <c r="D20" s="9" t="n">
        <v>19.8</v>
      </c>
      <c r="E20" s="5" t="s">
        <v>781</v>
      </c>
      <c r="F20" s="9" t="n">
        <v>83.2</v>
      </c>
      <c r="G20" s="9" t="n">
        <v>73.4</v>
      </c>
      <c r="H20" s="10" t="n">
        <v>172379</v>
      </c>
      <c r="I20" s="9" t="n">
        <v>17.9</v>
      </c>
      <c r="J20" s="5" t="n">
        <v>2046.5</v>
      </c>
      <c r="K20" s="9" t="n">
        <v>2.4</v>
      </c>
      <c r="L20" s="5" t="s">
        <v>824</v>
      </c>
      <c r="M20" s="5" t="s">
        <v>782</v>
      </c>
      <c r="N20" s="5"/>
      <c r="O20" s="13" t="n">
        <f aca="false">IF(AND(TRUE(),ISNUMBER(D20),ISNUMBER(D19)),(D20-D19)*100,"")</f>
        <v>480</v>
      </c>
      <c r="P20" s="13" t="n">
        <f aca="false">IF(AND(ISNUMBER(F20),ISNUMBER(F19)),F20-F19,"")</f>
        <v>-2.3</v>
      </c>
      <c r="Q20" s="8" t="n">
        <f aca="false">IF(COUNTIFS(Wage_Hikes!$A:$A,A20,Wage_Hikes!$D:$D,B20)&gt;0,1,0)</f>
        <v>0</v>
      </c>
      <c r="R20" s="12" t="n">
        <f aca="false">IFERROR(AVERAGEIFS(FX_USDINR!$B:$B,FX_USDINR!$C:$C,B20),"")</f>
        <v>72.044</v>
      </c>
      <c r="S20" s="5" t="n">
        <v>0</v>
      </c>
    </row>
    <row r="21" customFormat="false" ht="15" hidden="false" customHeight="false" outlineLevel="0" collapsed="false">
      <c r="A21" s="5" t="s">
        <v>778</v>
      </c>
      <c r="B21" s="5" t="s">
        <v>493</v>
      </c>
      <c r="C21" s="5" t="s">
        <v>827</v>
      </c>
      <c r="D21" s="9" t="n">
        <v>19</v>
      </c>
      <c r="E21" s="5" t="s">
        <v>781</v>
      </c>
      <c r="F21" s="9" t="n">
        <v>85.4</v>
      </c>
      <c r="G21" s="9" t="n">
        <v>75.4</v>
      </c>
      <c r="H21" s="10" t="n">
        <v>171425</v>
      </c>
      <c r="I21" s="9" t="n">
        <v>17.6</v>
      </c>
      <c r="J21" s="5" t="n">
        <v>2075.5</v>
      </c>
      <c r="K21" s="9" t="n">
        <v>1</v>
      </c>
      <c r="L21" s="5" t="s">
        <v>429</v>
      </c>
      <c r="M21" s="5" t="s">
        <v>782</v>
      </c>
      <c r="N21" s="5"/>
      <c r="O21" s="13" t="n">
        <f aca="false">IF(AND(TRUE(),ISNUMBER(D21),ISNUMBER(D20)),(D21-D20)*100,"")</f>
        <v>-80.0000000000001</v>
      </c>
      <c r="P21" s="13" t="n">
        <f aca="false">IF(AND(ISNUMBER(F21),ISNUMBER(F20)),F21-F20,"")</f>
        <v>2.2</v>
      </c>
      <c r="Q21" s="8" t="n">
        <f aca="false">IF(COUNTIFS(Wage_Hikes!$A:$A,A21,Wage_Hikes!$D:$D,B21)&gt;0,1,0)</f>
        <v>0</v>
      </c>
      <c r="R21" s="12" t="n">
        <f aca="false">IFERROR(AVERAGEIFS(FX_USDINR!$B:$B,FX_USDINR!$C:$C,B21),"")</f>
        <v>70.4578</v>
      </c>
      <c r="S21" s="5" t="n">
        <v>0</v>
      </c>
    </row>
    <row r="22" customFormat="false" ht="15" hidden="false" customHeight="false" outlineLevel="0" collapsed="false">
      <c r="A22" s="5" t="s">
        <v>778</v>
      </c>
      <c r="B22" s="5" t="s">
        <v>461</v>
      </c>
      <c r="C22" s="5" t="s">
        <v>828</v>
      </c>
      <c r="D22" s="9" t="n">
        <v>18.4</v>
      </c>
      <c r="E22" s="5" t="s">
        <v>781</v>
      </c>
      <c r="F22" s="9" t="n">
        <v>85</v>
      </c>
      <c r="G22" s="9" t="n">
        <v>73.9</v>
      </c>
      <c r="H22" s="10" t="n">
        <v>174850</v>
      </c>
      <c r="I22" s="9" t="n">
        <v>17.6</v>
      </c>
      <c r="J22" s="5" t="n">
        <v>2038.8</v>
      </c>
      <c r="K22" s="9" t="n">
        <v>-0.7</v>
      </c>
      <c r="L22" s="5" t="s">
        <v>81</v>
      </c>
      <c r="M22" s="5" t="s">
        <v>782</v>
      </c>
      <c r="N22" s="5"/>
      <c r="O22" s="13" t="n">
        <f aca="false">IF(AND(TRUE(),ISNUMBER(D22),ISNUMBER(D21)),(D22-D21)*100,"")</f>
        <v>-60.0000000000001</v>
      </c>
      <c r="P22" s="13" t="n">
        <f aca="false">IF(AND(ISNUMBER(F22),ISNUMBER(F21)),F22-F21,"")</f>
        <v>-0.400000000000006</v>
      </c>
      <c r="Q22" s="8" t="n">
        <f aca="false">IF(COUNTIFS(Wage_Hikes!$A:$A,A22,Wage_Hikes!$D:$D,B22)&gt;0,1,0)</f>
        <v>0</v>
      </c>
      <c r="R22" s="12" t="n">
        <f aca="false">IFERROR(AVERAGEIFS(FX_USDINR!$B:$B,FX_USDINR!$C:$C,B22),"")</f>
        <v>69.5258333333333</v>
      </c>
      <c r="S22" s="5" t="n">
        <v>0</v>
      </c>
    </row>
    <row r="23" customFormat="false" ht="15" hidden="false" customHeight="false" outlineLevel="0" collapsed="false">
      <c r="A23" s="5" t="s">
        <v>778</v>
      </c>
      <c r="B23" s="5" t="s">
        <v>485</v>
      </c>
      <c r="C23" s="5" t="s">
        <v>829</v>
      </c>
      <c r="D23" s="9" t="n">
        <v>18.1</v>
      </c>
      <c r="E23" s="5" t="s">
        <v>781</v>
      </c>
      <c r="F23" s="9" t="n">
        <v>82.1</v>
      </c>
      <c r="G23" s="9" t="n">
        <v>71.4</v>
      </c>
      <c r="H23" s="10" t="n">
        <v>181453</v>
      </c>
      <c r="I23" s="9" t="n">
        <v>17</v>
      </c>
      <c r="J23" s="5" t="n">
        <v>2048.9</v>
      </c>
      <c r="K23" s="9" t="n">
        <v>1.1</v>
      </c>
      <c r="L23" s="5" t="s">
        <v>81</v>
      </c>
      <c r="M23" s="5" t="s">
        <v>782</v>
      </c>
      <c r="N23" s="5"/>
      <c r="O23" s="13" t="n">
        <f aca="false">IF(AND(TRUE(),ISNUMBER(D23),ISNUMBER(D22)),(D23-D22)*100,"")</f>
        <v>-29.9999999999997</v>
      </c>
      <c r="P23" s="13" t="n">
        <f aca="false">IF(AND(ISNUMBER(F23),ISNUMBER(F22)),F23-F22,"")</f>
        <v>-2.90000000000001</v>
      </c>
      <c r="Q23" s="8" t="n">
        <f aca="false">IF(COUNTIFS(Wage_Hikes!$A:$A,A23,Wage_Hikes!$D:$D,B23)&gt;0,1,0)</f>
        <v>0</v>
      </c>
      <c r="R23" s="12" t="n">
        <f aca="false">IFERROR(AVERAGEIFS(FX_USDINR!$B:$B,FX_USDINR!$C:$C,B23),"")</f>
        <v>70.4130666666667</v>
      </c>
      <c r="S23" s="5" t="n">
        <v>0</v>
      </c>
    </row>
    <row r="24" customFormat="false" ht="15" hidden="false" customHeight="false" outlineLevel="0" collapsed="false">
      <c r="A24" s="5" t="s">
        <v>778</v>
      </c>
      <c r="B24" s="5" t="s">
        <v>830</v>
      </c>
      <c r="C24" s="5" t="s">
        <v>831</v>
      </c>
      <c r="D24" s="9" t="n">
        <v>18.4</v>
      </c>
      <c r="E24" s="5" t="s">
        <v>781</v>
      </c>
      <c r="F24" s="9" t="n">
        <v>79.6</v>
      </c>
      <c r="G24" s="9" t="n">
        <v>70.2</v>
      </c>
      <c r="H24" s="10" t="n">
        <v>187318</v>
      </c>
      <c r="I24" s="9" t="n">
        <v>15.7</v>
      </c>
      <c r="J24" s="5" t="n">
        <v>2094.8</v>
      </c>
      <c r="K24" s="9" t="n">
        <v>1.8</v>
      </c>
      <c r="L24" s="5" t="s">
        <v>81</v>
      </c>
      <c r="M24" s="5" t="s">
        <v>782</v>
      </c>
      <c r="N24" s="5"/>
      <c r="O24" s="13" t="n">
        <f aca="false">IF(AND(TRUE(),ISNUMBER(D24),ISNUMBER(D23)),(D24-D23)*100,"")</f>
        <v>29.9999999999997</v>
      </c>
      <c r="P24" s="13" t="n">
        <f aca="false">IF(AND(ISNUMBER(F24),ISNUMBER(F23)),F24-F23,"")</f>
        <v>-2.5</v>
      </c>
      <c r="Q24" s="8" t="n">
        <f aca="false">IF(COUNTIFS(Wage_Hikes!$A:$A,A24,Wage_Hikes!$D:$D,B24)&gt;0,1,0)</f>
        <v>0</v>
      </c>
      <c r="R24" s="12" t="n">
        <f aca="false">IFERROR(AVERAGEIFS(FX_USDINR!$B:$B,FX_USDINR!$C:$C,B24),"")</f>
        <v>71.2198333333333</v>
      </c>
      <c r="S24" s="5" t="n">
        <v>0</v>
      </c>
    </row>
    <row r="25" customFormat="false" ht="15" hidden="false" customHeight="false" outlineLevel="0" collapsed="false">
      <c r="A25" s="5" t="s">
        <v>778</v>
      </c>
      <c r="B25" s="5" t="s">
        <v>832</v>
      </c>
      <c r="C25" s="5" t="s">
        <v>833</v>
      </c>
      <c r="D25" s="9" t="n">
        <v>17.6</v>
      </c>
      <c r="E25" s="5" t="s">
        <v>781</v>
      </c>
      <c r="F25" s="9" t="n">
        <v>82.6</v>
      </c>
      <c r="G25" s="9" t="n">
        <v>73.4</v>
      </c>
      <c r="H25" s="10" t="n">
        <v>182886</v>
      </c>
      <c r="I25" s="9" t="n">
        <v>14.7</v>
      </c>
      <c r="J25" s="5" t="n">
        <v>2073.7</v>
      </c>
      <c r="K25" s="9" t="n">
        <v>0.4</v>
      </c>
      <c r="L25" s="5" t="s">
        <v>81</v>
      </c>
      <c r="M25" s="5" t="s">
        <v>782</v>
      </c>
      <c r="N25" s="5"/>
      <c r="O25" s="13" t="n">
        <f aca="false">IF(AND(TRUE(),ISNUMBER(D25),ISNUMBER(D24)),(D25-D24)*100,"")</f>
        <v>-79.9999999999997</v>
      </c>
      <c r="P25" s="13" t="n">
        <f aca="false">IF(AND(ISNUMBER(F25),ISNUMBER(F24)),F25-F24,"")</f>
        <v>3</v>
      </c>
      <c r="Q25" s="8" t="n">
        <f aca="false">IF(COUNTIFS(Wage_Hikes!$A:$A,A25,Wage_Hikes!$D:$D,B25)&gt;0,1,0)</f>
        <v>0</v>
      </c>
      <c r="R25" s="12" t="n">
        <f aca="false">IFERROR(AVERAGEIFS(FX_USDINR!$B:$B,FX_USDINR!$C:$C,B25),"")</f>
        <v>72.4522333333333</v>
      </c>
      <c r="S25" s="5" t="n">
        <v>0</v>
      </c>
    </row>
    <row r="26" customFormat="false" ht="15" hidden="false" customHeight="false" outlineLevel="0" collapsed="false">
      <c r="A26" s="5" t="s">
        <v>778</v>
      </c>
      <c r="B26" s="5" t="s">
        <v>175</v>
      </c>
      <c r="C26" s="5" t="s">
        <v>834</v>
      </c>
      <c r="D26" s="9" t="n">
        <v>19</v>
      </c>
      <c r="E26" s="5" t="s">
        <v>781</v>
      </c>
      <c r="F26" s="9" t="n">
        <v>84.5</v>
      </c>
      <c r="G26" s="9" t="n">
        <v>75</v>
      </c>
      <c r="H26" s="10" t="n">
        <v>181804</v>
      </c>
      <c r="I26" s="9" t="n">
        <v>13</v>
      </c>
      <c r="J26" s="5" t="n">
        <v>1921.6</v>
      </c>
      <c r="K26" s="9" t="n">
        <v>-7.5</v>
      </c>
      <c r="L26" s="5" t="s">
        <v>81</v>
      </c>
      <c r="M26" s="5" t="s">
        <v>782</v>
      </c>
      <c r="N26" s="5" t="s">
        <v>835</v>
      </c>
      <c r="O26" s="13" t="n">
        <f aca="false">IF(AND(TRUE(),ISNUMBER(D26),ISNUMBER(D25)),(D26-D25)*100,"")</f>
        <v>140</v>
      </c>
      <c r="P26" s="13" t="n">
        <f aca="false">IF(AND(ISNUMBER(F26),ISNUMBER(F25)),F26-F25,"")</f>
        <v>1.90000000000001</v>
      </c>
      <c r="Q26" s="8" t="n">
        <f aca="false">IF(COUNTIFS(Wage_Hikes!$A:$A,A26,Wage_Hikes!$D:$D,B26)&gt;0,1,0)</f>
        <v>0</v>
      </c>
      <c r="R26" s="12" t="n">
        <f aca="false">IFERROR(AVERAGEIFS(FX_USDINR!$B:$B,FX_USDINR!$C:$C,B26),"")</f>
        <v>75.8444666666667</v>
      </c>
      <c r="S26" s="5" t="n">
        <v>1</v>
      </c>
    </row>
    <row r="27" customFormat="false" ht="15" hidden="false" customHeight="false" outlineLevel="0" collapsed="false">
      <c r="A27" s="5" t="s">
        <v>778</v>
      </c>
      <c r="B27" s="5" t="s">
        <v>836</v>
      </c>
      <c r="C27" s="5" t="s">
        <v>837</v>
      </c>
      <c r="D27" s="9" t="n">
        <v>19.2</v>
      </c>
      <c r="E27" s="5" t="s">
        <v>781</v>
      </c>
      <c r="F27" s="9" t="n">
        <v>86.9</v>
      </c>
      <c r="G27" s="9" t="n">
        <v>76.4</v>
      </c>
      <c r="H27" s="10" t="n">
        <v>185243</v>
      </c>
      <c r="I27" s="9" t="n">
        <v>11</v>
      </c>
      <c r="J27" s="5" t="n">
        <v>1992.4</v>
      </c>
      <c r="K27" s="9" t="n">
        <v>2</v>
      </c>
      <c r="L27" s="5" t="s">
        <v>81</v>
      </c>
      <c r="M27" s="5" t="s">
        <v>782</v>
      </c>
      <c r="N27" s="5"/>
      <c r="O27" s="13" t="n">
        <f aca="false">IF(AND(TRUE(),ISNUMBER(D27),ISNUMBER(D26)),(D27-D26)*100,"")</f>
        <v>19.9999999999999</v>
      </c>
      <c r="P27" s="13" t="n">
        <f aca="false">IF(AND(ISNUMBER(F27),ISNUMBER(F26)),F27-F26,"")</f>
        <v>2.40000000000001</v>
      </c>
      <c r="Q27" s="8" t="n">
        <f aca="false">IF(COUNTIFS(Wage_Hikes!$A:$A,A27,Wage_Hikes!$D:$D,B27)&gt;0,1,0)</f>
        <v>0</v>
      </c>
      <c r="R27" s="12" t="n">
        <f aca="false">IFERROR(AVERAGEIFS(FX_USDINR!$B:$B,FX_USDINR!$C:$C,B27),"")</f>
        <v>74.3392</v>
      </c>
      <c r="S27" s="5" t="n">
        <v>0</v>
      </c>
    </row>
    <row r="28" customFormat="false" ht="15" hidden="false" customHeight="false" outlineLevel="0" collapsed="false">
      <c r="A28" s="5" t="s">
        <v>778</v>
      </c>
      <c r="B28" s="5" t="s">
        <v>79</v>
      </c>
      <c r="C28" s="5" t="s">
        <v>838</v>
      </c>
      <c r="D28" s="9" t="n">
        <v>21.7</v>
      </c>
      <c r="E28" s="5" t="s">
        <v>781</v>
      </c>
      <c r="F28" s="9" t="n">
        <v>86.3</v>
      </c>
      <c r="G28" s="9" t="n">
        <v>74.8</v>
      </c>
      <c r="H28" s="10" t="n">
        <v>190308</v>
      </c>
      <c r="I28" s="9" t="n">
        <v>11</v>
      </c>
      <c r="J28" s="5" t="n">
        <v>2071</v>
      </c>
      <c r="K28" s="9" t="n">
        <v>3.4</v>
      </c>
      <c r="L28" s="5" t="s">
        <v>76</v>
      </c>
      <c r="M28" s="5" t="s">
        <v>782</v>
      </c>
      <c r="N28" s="5"/>
      <c r="O28" s="13" t="n">
        <f aca="false">IF(AND(TRUE(),ISNUMBER(D28),ISNUMBER(D27)),(D28-D27)*100,"")</f>
        <v>250</v>
      </c>
      <c r="P28" s="13" t="n">
        <f aca="false">IF(AND(ISNUMBER(F28),ISNUMBER(F27)),F28-F27,"")</f>
        <v>-0.600000000000009</v>
      </c>
      <c r="Q28" s="8" t="n">
        <f aca="false">IF(COUNTIFS(Wage_Hikes!$A:$A,A28,Wage_Hikes!$D:$D,B28)&gt;0,1,0)</f>
        <v>0</v>
      </c>
      <c r="R28" s="12" t="n">
        <f aca="false">IFERROR(AVERAGEIFS(FX_USDINR!$B:$B,FX_USDINR!$C:$C,B28),"")</f>
        <v>73.8051333333333</v>
      </c>
      <c r="S28" s="5" t="n">
        <v>0</v>
      </c>
    </row>
    <row r="29" customFormat="false" ht="15" hidden="false" customHeight="false" outlineLevel="0" collapsed="false">
      <c r="A29" s="5" t="s">
        <v>778</v>
      </c>
      <c r="B29" s="5" t="s">
        <v>839</v>
      </c>
      <c r="C29" s="5" t="s">
        <v>840</v>
      </c>
      <c r="D29" s="9" t="n">
        <v>21</v>
      </c>
      <c r="E29" s="5" t="s">
        <v>781</v>
      </c>
      <c r="F29" s="9" t="n">
        <v>86</v>
      </c>
      <c r="G29" s="9" t="n">
        <v>76.7</v>
      </c>
      <c r="H29" s="10" t="n">
        <v>197712</v>
      </c>
      <c r="I29" s="9" t="n">
        <v>12.1</v>
      </c>
      <c r="J29" s="5" t="n">
        <v>2152.4</v>
      </c>
      <c r="K29" s="9" t="n">
        <v>3</v>
      </c>
      <c r="L29" s="5" t="s">
        <v>71</v>
      </c>
      <c r="M29" s="5" t="s">
        <v>782</v>
      </c>
      <c r="N29" s="5"/>
      <c r="O29" s="13" t="n">
        <f aca="false">IF(AND(TRUE(),ISNUMBER(D29),ISNUMBER(D28)),(D29-D28)*100,"")</f>
        <v>-69.9999999999999</v>
      </c>
      <c r="P29" s="13" t="n">
        <f aca="false">IF(AND(ISNUMBER(F29),ISNUMBER(F28)),F29-F28,"")</f>
        <v>-0.299999999999997</v>
      </c>
      <c r="Q29" s="8" t="n">
        <f aca="false">IF(COUNTIFS(Wage_Hikes!$A:$A,A29,Wage_Hikes!$D:$D,B29)&gt;0,1,0)</f>
        <v>1</v>
      </c>
      <c r="R29" s="12" t="n">
        <f aca="false">IFERROR(AVERAGEIFS(FX_USDINR!$B:$B,FX_USDINR!$C:$C,B29),"")</f>
        <v>72.9118333333333</v>
      </c>
      <c r="S29" s="5" t="n">
        <v>0</v>
      </c>
    </row>
    <row r="30" customFormat="false" ht="15" hidden="false" customHeight="false" outlineLevel="0" collapsed="false">
      <c r="A30" s="5" t="s">
        <v>778</v>
      </c>
      <c r="B30" s="5" t="s">
        <v>841</v>
      </c>
      <c r="C30" s="5" t="s">
        <v>842</v>
      </c>
      <c r="D30" s="9" t="n">
        <v>18.8</v>
      </c>
      <c r="E30" s="5" t="s">
        <v>781</v>
      </c>
      <c r="F30" s="9" t="n">
        <v>86.8</v>
      </c>
      <c r="G30" s="9" t="n">
        <v>77.7</v>
      </c>
      <c r="H30" s="10" t="n">
        <v>209890</v>
      </c>
      <c r="I30" s="9" t="n">
        <v>15.5</v>
      </c>
      <c r="J30" s="5" t="n">
        <v>2414.5</v>
      </c>
      <c r="K30" s="9" t="n">
        <v>12</v>
      </c>
      <c r="L30" s="5" t="s">
        <v>71</v>
      </c>
      <c r="M30" s="5" t="s">
        <v>782</v>
      </c>
      <c r="N30" s="5" t="s">
        <v>843</v>
      </c>
      <c r="O30" s="13" t="n">
        <f aca="false">IF(AND(TRUE(),ISNUMBER(D30),ISNUMBER(D29)),(D30-D29)*100,"")</f>
        <v>-220</v>
      </c>
      <c r="P30" s="13" t="n">
        <f aca="false">IF(AND(ISNUMBER(F30),ISNUMBER(F29)),F30-F29,"")</f>
        <v>0.799999999999997</v>
      </c>
      <c r="Q30" s="8" t="n">
        <f aca="false">IF(COUNTIFS(Wage_Hikes!$A:$A,A30,Wage_Hikes!$D:$D,B30)&gt;0,1,0)</f>
        <v>1</v>
      </c>
      <c r="R30" s="12" t="n">
        <f aca="false">IFERROR(AVERAGEIFS(FX_USDINR!$B:$B,FX_USDINR!$C:$C,B30),"")</f>
        <v>73.7677666666667</v>
      </c>
      <c r="S30" s="5" t="n">
        <v>0</v>
      </c>
    </row>
    <row r="31" customFormat="false" ht="15" hidden="false" customHeight="false" outlineLevel="0" collapsed="false">
      <c r="A31" s="5" t="s">
        <v>778</v>
      </c>
      <c r="B31" s="5" t="s">
        <v>844</v>
      </c>
      <c r="C31" s="5" t="s">
        <v>845</v>
      </c>
      <c r="D31" s="9" t="n">
        <v>17.8</v>
      </c>
      <c r="E31" s="5" t="s">
        <v>781</v>
      </c>
      <c r="F31" s="9" t="n">
        <v>89.2</v>
      </c>
      <c r="G31" s="9" t="n">
        <v>78.1</v>
      </c>
      <c r="H31" s="10" t="n">
        <v>221365</v>
      </c>
      <c r="I31" s="9" t="n">
        <v>20.5</v>
      </c>
      <c r="J31" s="5" t="n">
        <v>2580</v>
      </c>
      <c r="K31" s="9" t="n">
        <v>8.1</v>
      </c>
      <c r="L31" s="5" t="s">
        <v>71</v>
      </c>
      <c r="M31" s="5" t="s">
        <v>782</v>
      </c>
      <c r="N31" s="5"/>
      <c r="O31" s="13" t="n">
        <f aca="false">IF(AND(TRUE(),ISNUMBER(D31),ISNUMBER(D30)),(D31-D30)*100,"")</f>
        <v>-100</v>
      </c>
      <c r="P31" s="13" t="n">
        <f aca="false">IF(AND(ISNUMBER(F31),ISNUMBER(F30)),F31-F30,"")</f>
        <v>2.40000000000001</v>
      </c>
      <c r="Q31" s="8" t="n">
        <f aca="false">IF(COUNTIFS(Wage_Hikes!$A:$A,A31,Wage_Hikes!$D:$D,B31)&gt;0,1,0)</f>
        <v>1</v>
      </c>
      <c r="R31" s="12" t="n">
        <f aca="false">IFERROR(AVERAGEIFS(FX_USDINR!$B:$B,FX_USDINR!$C:$C,B31),"")</f>
        <v>74.0967333333333</v>
      </c>
      <c r="S31" s="5" t="n">
        <v>0</v>
      </c>
    </row>
    <row r="32" customFormat="false" ht="15" hidden="false" customHeight="false" outlineLevel="0" collapsed="false">
      <c r="A32" s="5" t="s">
        <v>778</v>
      </c>
      <c r="B32" s="5" t="s">
        <v>846</v>
      </c>
      <c r="C32" s="5" t="s">
        <v>847</v>
      </c>
      <c r="D32" s="9" t="n">
        <v>17.6</v>
      </c>
      <c r="E32" s="5" t="s">
        <v>781</v>
      </c>
      <c r="F32" s="9" t="n">
        <v>85.8</v>
      </c>
      <c r="G32" s="9" t="n">
        <v>75.6</v>
      </c>
      <c r="H32" s="10" t="n">
        <v>231671</v>
      </c>
      <c r="I32" s="9" t="n">
        <v>22.7</v>
      </c>
      <c r="J32" s="5" t="n">
        <v>2639.7</v>
      </c>
      <c r="K32" s="9" t="n">
        <v>3</v>
      </c>
      <c r="L32" s="5" t="s">
        <v>71</v>
      </c>
      <c r="M32" s="5" t="s">
        <v>782</v>
      </c>
      <c r="N32" s="5"/>
      <c r="O32" s="13" t="n">
        <f aca="false">IF(AND(TRUE(),ISNUMBER(D32),ISNUMBER(D31)),(D32-D31)*100,"")</f>
        <v>-19.9999999999999</v>
      </c>
      <c r="P32" s="13" t="n">
        <f aca="false">IF(AND(ISNUMBER(F32),ISNUMBER(F31)),F32-F31,"")</f>
        <v>-3.40000000000001</v>
      </c>
      <c r="Q32" s="8" t="n">
        <f aca="false">IF(COUNTIFS(Wage_Hikes!$A:$A,A32,Wage_Hikes!$D:$D,B32)&gt;0,1,0)</f>
        <v>0</v>
      </c>
      <c r="R32" s="12" t="n">
        <f aca="false">IFERROR(AVERAGEIFS(FX_USDINR!$B:$B,FX_USDINR!$C:$C,B32),"")</f>
        <v>74.9306</v>
      </c>
      <c r="S32" s="5" t="n">
        <v>0</v>
      </c>
    </row>
    <row r="33" customFormat="false" ht="15" hidden="false" customHeight="false" outlineLevel="0" collapsed="false">
      <c r="A33" s="5" t="s">
        <v>778</v>
      </c>
      <c r="B33" s="5" t="s">
        <v>641</v>
      </c>
      <c r="C33" s="5" t="s">
        <v>848</v>
      </c>
      <c r="D33" s="9" t="n">
        <v>17</v>
      </c>
      <c r="E33" s="5" t="s">
        <v>781</v>
      </c>
      <c r="F33" s="9" t="n">
        <v>85.2</v>
      </c>
      <c r="G33" s="9" t="n">
        <v>75.8</v>
      </c>
      <c r="H33" s="10" t="n">
        <v>243128</v>
      </c>
      <c r="I33" s="9" t="n">
        <v>23.8</v>
      </c>
      <c r="J33" s="5" t="n">
        <v>2721.7</v>
      </c>
      <c r="K33" s="9" t="n">
        <v>3.1</v>
      </c>
      <c r="L33" s="5" t="s">
        <v>71</v>
      </c>
      <c r="M33" s="5" t="s">
        <v>782</v>
      </c>
      <c r="N33" s="5"/>
      <c r="O33" s="13" t="n">
        <f aca="false">IF(AND(TRUE(),ISNUMBER(D33),ISNUMBER(D32)),(D33-D32)*100,"")</f>
        <v>-60.0000000000001</v>
      </c>
      <c r="P33" s="13" t="n">
        <f aca="false">IF(AND(ISNUMBER(F33),ISNUMBER(F32)),F33-F32,"")</f>
        <v>-0.599999999999994</v>
      </c>
      <c r="Q33" s="8" t="n">
        <f aca="false">IF(COUNTIFS(Wage_Hikes!$A:$A,A33,Wage_Hikes!$D:$D,B33)&gt;0,1,0)</f>
        <v>0</v>
      </c>
      <c r="R33" s="12" t="n">
        <f aca="false">IFERROR(AVERAGEIFS(FX_USDINR!$B:$B,FX_USDINR!$C:$C,B33),"")</f>
        <v>75.1888666666667</v>
      </c>
      <c r="S33" s="5" t="n">
        <v>0</v>
      </c>
    </row>
    <row r="34" customFormat="false" ht="15" hidden="false" customHeight="false" outlineLevel="0" collapsed="false">
      <c r="A34" s="5" t="s">
        <v>778</v>
      </c>
      <c r="B34" s="5" t="s">
        <v>133</v>
      </c>
      <c r="C34" s="5" t="s">
        <v>849</v>
      </c>
      <c r="D34" s="9" t="n">
        <v>14.9</v>
      </c>
      <c r="E34" s="5" t="s">
        <v>781</v>
      </c>
      <c r="F34" s="9" t="n">
        <v>83.8</v>
      </c>
      <c r="G34" s="9"/>
      <c r="H34" s="10" t="n">
        <v>262049</v>
      </c>
      <c r="I34" s="9" t="n">
        <v>23</v>
      </c>
      <c r="J34" s="5" t="n">
        <v>2756.1</v>
      </c>
      <c r="K34" s="9" t="n">
        <v>1.9</v>
      </c>
      <c r="L34" s="5" t="s">
        <v>67</v>
      </c>
      <c r="M34" s="5" t="s">
        <v>782</v>
      </c>
      <c r="N34" s="5"/>
      <c r="O34" s="13" t="n">
        <f aca="false">IF(AND(TRUE(),ISNUMBER(D34),ISNUMBER(D33)),(D34-D33)*100,"")</f>
        <v>-210</v>
      </c>
      <c r="P34" s="13" t="n">
        <f aca="false">IF(AND(ISNUMBER(F34),ISNUMBER(F33)),F34-F33,"")</f>
        <v>-1.40000000000001</v>
      </c>
      <c r="Q34" s="8" t="n">
        <f aca="false">IF(COUNTIFS(Wage_Hikes!$A:$A,A34,Wage_Hikes!$D:$D,B34)&gt;0,1,0)</f>
        <v>0</v>
      </c>
      <c r="R34" s="12" t="n">
        <f aca="false">IFERROR(AVERAGEIFS(FX_USDINR!$B:$B,FX_USDINR!$C:$C,B34),"")</f>
        <v>77.1850666666667</v>
      </c>
      <c r="S34" s="5" t="n">
        <v>0</v>
      </c>
    </row>
    <row r="35" customFormat="false" ht="15" hidden="false" customHeight="false" outlineLevel="0" collapsed="false">
      <c r="A35" s="5" t="s">
        <v>778</v>
      </c>
      <c r="B35" s="5" t="s">
        <v>650</v>
      </c>
      <c r="C35" s="5" t="s">
        <v>850</v>
      </c>
      <c r="D35" s="9" t="n">
        <v>15.1</v>
      </c>
      <c r="E35" s="5" t="s">
        <v>781</v>
      </c>
      <c r="F35" s="9" t="n">
        <v>79.8</v>
      </c>
      <c r="G35" s="9"/>
      <c r="H35" s="10" t="n">
        <v>262626</v>
      </c>
      <c r="I35" s="9" t="n">
        <v>22.9</v>
      </c>
      <c r="J35" s="5" t="n">
        <v>2817.4</v>
      </c>
      <c r="K35" s="9" t="n">
        <v>4.1</v>
      </c>
      <c r="L35" s="5" t="s">
        <v>67</v>
      </c>
      <c r="M35" s="5" t="s">
        <v>782</v>
      </c>
      <c r="N35" s="5"/>
      <c r="O35" s="13" t="n">
        <f aca="false">IF(AND(TRUE(),ISNUMBER(D35),ISNUMBER(D34)),(D35-D34)*100,"")</f>
        <v>19.9999999999999</v>
      </c>
      <c r="P35" s="13" t="n">
        <f aca="false">IF(AND(ISNUMBER(F35),ISNUMBER(F34)),F35-F34,"")</f>
        <v>-4</v>
      </c>
      <c r="Q35" s="8" t="n">
        <f aca="false">IF(COUNTIFS(Wage_Hikes!$A:$A,A35,Wage_Hikes!$D:$D,B35)&gt;0,1,0)</f>
        <v>1</v>
      </c>
      <c r="R35" s="12" t="n">
        <f aca="false">IFERROR(AVERAGEIFS(FX_USDINR!$B:$B,FX_USDINR!$C:$C,B35),"")</f>
        <v>79.7839333333333</v>
      </c>
      <c r="S35" s="5" t="n">
        <v>0</v>
      </c>
    </row>
    <row r="36" customFormat="false" ht="23.85" hidden="false" customHeight="false" outlineLevel="0" collapsed="false">
      <c r="A36" s="5" t="s">
        <v>778</v>
      </c>
      <c r="B36" s="5" t="s">
        <v>161</v>
      </c>
      <c r="C36" s="5" t="s">
        <v>851</v>
      </c>
      <c r="D36" s="9" t="n">
        <v>16.2</v>
      </c>
      <c r="E36" s="5" t="s">
        <v>781</v>
      </c>
      <c r="F36" s="9" t="n">
        <v>79.7</v>
      </c>
      <c r="G36" s="9"/>
      <c r="H36" s="10" t="n">
        <v>262109</v>
      </c>
      <c r="I36" s="9" t="n">
        <v>21.2</v>
      </c>
      <c r="J36" s="5" t="n">
        <v>2821.4</v>
      </c>
      <c r="K36" s="9" t="n">
        <v>0.6</v>
      </c>
      <c r="L36" s="5" t="s">
        <v>67</v>
      </c>
      <c r="M36" s="5" t="s">
        <v>782</v>
      </c>
      <c r="N36" s="6" t="s">
        <v>852</v>
      </c>
      <c r="O36" s="13" t="n">
        <f aca="false">IF(AND(TRUE(),ISNUMBER(D36),ISNUMBER(D35)),(D36-D35)*100,"")</f>
        <v>110</v>
      </c>
      <c r="P36" s="13" t="n">
        <f aca="false">IF(AND(ISNUMBER(F36),ISNUMBER(F35)),F36-F35,"")</f>
        <v>-0.0999999999999943</v>
      </c>
      <c r="Q36" s="8" t="n">
        <f aca="false">IF(COUNTIFS(Wage_Hikes!$A:$A,A36,Wage_Hikes!$D:$D,B36)&gt;0,1,0)</f>
        <v>0</v>
      </c>
      <c r="R36" s="12" t="n">
        <f aca="false">IFERROR(AVERAGEIFS(FX_USDINR!$B:$B,FX_USDINR!$C:$C,B36),"")</f>
        <v>82.1486</v>
      </c>
      <c r="S36" s="5" t="n">
        <v>0</v>
      </c>
    </row>
    <row r="37" customFormat="false" ht="15" hidden="false" customHeight="false" outlineLevel="0" collapsed="false">
      <c r="A37" s="5" t="s">
        <v>778</v>
      </c>
      <c r="B37" s="5" t="s">
        <v>853</v>
      </c>
      <c r="C37" s="5" t="s">
        <v>854</v>
      </c>
      <c r="D37" s="9" t="n">
        <v>16.3</v>
      </c>
      <c r="E37" s="5" t="s">
        <v>781</v>
      </c>
      <c r="F37" s="9" t="n">
        <v>81.7</v>
      </c>
      <c r="G37" s="9"/>
      <c r="H37" s="10" t="n">
        <v>258570</v>
      </c>
      <c r="I37" s="9" t="n">
        <v>19.4</v>
      </c>
      <c r="J37" s="5" t="n">
        <v>2839.5</v>
      </c>
      <c r="K37" s="9" t="n">
        <v>-0.7</v>
      </c>
      <c r="L37" s="5" t="s">
        <v>67</v>
      </c>
      <c r="M37" s="5" t="s">
        <v>782</v>
      </c>
      <c r="N37" s="5"/>
      <c r="O37" s="13" t="n">
        <f aca="false">IF(AND(TRUE(),ISNUMBER(D37),ISNUMBER(D36)),(D37-D36)*100,"")</f>
        <v>10.0000000000001</v>
      </c>
      <c r="P37" s="13" t="n">
        <f aca="false">IF(AND(ISNUMBER(F37),ISNUMBER(F36)),F37-F36,"")</f>
        <v>2</v>
      </c>
      <c r="Q37" s="8" t="n">
        <f aca="false">IF(COUNTIFS(Wage_Hikes!$A:$A,A37,Wage_Hikes!$D:$D,B37)&gt;0,1,0)</f>
        <v>0</v>
      </c>
      <c r="R37" s="12" t="n">
        <f aca="false">IFERROR(AVERAGEIFS(FX_USDINR!$B:$B,FX_USDINR!$C:$C,B37),"")</f>
        <v>82.2023333333333</v>
      </c>
      <c r="S37" s="5" t="n">
        <v>0</v>
      </c>
    </row>
    <row r="38" customFormat="false" ht="15" hidden="false" customHeight="false" outlineLevel="0" collapsed="false">
      <c r="A38" s="5" t="s">
        <v>778</v>
      </c>
      <c r="B38" s="5" t="s">
        <v>658</v>
      </c>
      <c r="C38" s="5" t="s">
        <v>855</v>
      </c>
      <c r="D38" s="9" t="n">
        <v>16</v>
      </c>
      <c r="E38" s="5" t="s">
        <v>781</v>
      </c>
      <c r="F38" s="9" t="n">
        <v>83.7</v>
      </c>
      <c r="G38" s="9"/>
      <c r="H38" s="10" t="n">
        <v>249758</v>
      </c>
      <c r="I38" s="9" t="n">
        <v>17.3</v>
      </c>
      <c r="J38" s="5" t="n">
        <v>2778.5</v>
      </c>
      <c r="K38" s="9" t="n">
        <v>-2.8</v>
      </c>
      <c r="L38" s="5" t="s">
        <v>67</v>
      </c>
      <c r="M38" s="5" t="s">
        <v>782</v>
      </c>
      <c r="N38" s="5"/>
      <c r="O38" s="13" t="n">
        <f aca="false">IF(AND(TRUE(),ISNUMBER(D38),ISNUMBER(D37)),(D38-D37)*100,"")</f>
        <v>-30.0000000000001</v>
      </c>
      <c r="P38" s="13" t="n">
        <f aca="false">IF(AND(ISNUMBER(F38),ISNUMBER(F37)),F38-F37,"")</f>
        <v>2</v>
      </c>
      <c r="Q38" s="8" t="n">
        <f aca="false">IF(COUNTIFS(Wage_Hikes!$A:$A,A38,Wage_Hikes!$D:$D,B38)&gt;0,1,0)</f>
        <v>0</v>
      </c>
      <c r="R38" s="12" t="n">
        <f aca="false">IFERROR(AVERAGEIFS(FX_USDINR!$B:$B,FX_USDINR!$C:$C,B38),"")</f>
        <v>82.1638</v>
      </c>
      <c r="S38" s="5" t="n">
        <v>0</v>
      </c>
    </row>
    <row r="39" customFormat="false" ht="15" hidden="false" customHeight="false" outlineLevel="0" collapsed="false">
      <c r="A39" s="5" t="s">
        <v>778</v>
      </c>
      <c r="B39" s="5" t="s">
        <v>165</v>
      </c>
      <c r="C39" s="5" t="s">
        <v>856</v>
      </c>
      <c r="D39" s="9" t="n">
        <v>16.1</v>
      </c>
      <c r="E39" s="5" t="s">
        <v>781</v>
      </c>
      <c r="F39" s="9" t="n">
        <v>84.5</v>
      </c>
      <c r="G39" s="9"/>
      <c r="H39" s="10" t="n">
        <v>244707</v>
      </c>
      <c r="I39" s="9" t="n">
        <v>15.5</v>
      </c>
      <c r="J39" s="5" t="n">
        <v>2713.3</v>
      </c>
      <c r="K39" s="9" t="n">
        <v>-2</v>
      </c>
      <c r="L39" s="5" t="s">
        <v>857</v>
      </c>
      <c r="M39" s="5" t="s">
        <v>782</v>
      </c>
      <c r="N39" s="5"/>
      <c r="O39" s="13" t="n">
        <f aca="false">IF(AND(TRUE(),ISNUMBER(D39),ISNUMBER(D38)),(D39-D38)*100,"")</f>
        <v>10.0000000000001</v>
      </c>
      <c r="P39" s="13" t="n">
        <f aca="false">IF(AND(ISNUMBER(F39),ISNUMBER(F38)),F39-F38,"")</f>
        <v>0.799999999999997</v>
      </c>
      <c r="Q39" s="8" t="n">
        <f aca="false">IF(COUNTIFS(Wage_Hikes!$A:$A,A39,Wage_Hikes!$D:$D,B39)&gt;0,1,0)</f>
        <v>0</v>
      </c>
      <c r="R39" s="12" t="n">
        <f aca="false">IFERROR(AVERAGEIFS(FX_USDINR!$B:$B,FX_USDINR!$C:$C,B39),"")</f>
        <v>82.6795666666667</v>
      </c>
      <c r="S39" s="5" t="n">
        <v>0</v>
      </c>
    </row>
    <row r="40" customFormat="false" ht="15" hidden="false" customHeight="false" outlineLevel="0" collapsed="false">
      <c r="A40" s="5" t="s">
        <v>778</v>
      </c>
      <c r="B40" s="5" t="s">
        <v>858</v>
      </c>
      <c r="C40" s="5" t="s">
        <v>859</v>
      </c>
      <c r="D40" s="9" t="n">
        <v>16</v>
      </c>
      <c r="E40" s="5" t="s">
        <v>781</v>
      </c>
      <c r="F40" s="9" t="n">
        <v>84</v>
      </c>
      <c r="G40" s="9"/>
      <c r="H40" s="10" t="n">
        <v>240234</v>
      </c>
      <c r="I40" s="9" t="n">
        <v>14.2</v>
      </c>
      <c r="J40" s="5" t="n">
        <v>2656.1</v>
      </c>
      <c r="K40" s="9" t="n">
        <v>-1.7</v>
      </c>
      <c r="L40" s="5" t="s">
        <v>61</v>
      </c>
      <c r="M40" s="5" t="s">
        <v>782</v>
      </c>
      <c r="N40" s="5"/>
      <c r="O40" s="13" t="n">
        <f aca="false">IF(AND(TRUE(),ISNUMBER(D40),ISNUMBER(D39)),(D40-D39)*100,"")</f>
        <v>-10.0000000000001</v>
      </c>
      <c r="P40" s="13" t="n">
        <f aca="false">IF(AND(ISNUMBER(F40),ISNUMBER(F39)),F40-F39,"")</f>
        <v>-0.5</v>
      </c>
      <c r="Q40" s="8" t="n">
        <f aca="false">IF(COUNTIFS(Wage_Hikes!$A:$A,A40,Wage_Hikes!$D:$D,B40)&gt;0,1,0)</f>
        <v>1</v>
      </c>
      <c r="R40" s="12" t="n">
        <f aca="false">IFERROR(AVERAGEIFS(FX_USDINR!$B:$B,FX_USDINR!$C:$C,B40),"")</f>
        <v>83.2454</v>
      </c>
      <c r="S40" s="5" t="n">
        <v>0</v>
      </c>
    </row>
    <row r="41" customFormat="false" ht="15" hidden="false" customHeight="false" outlineLevel="0" collapsed="false">
      <c r="A41" s="5" t="s">
        <v>778</v>
      </c>
      <c r="B41" s="5" t="s">
        <v>665</v>
      </c>
      <c r="C41" s="5" t="s">
        <v>860</v>
      </c>
      <c r="D41" s="9" t="n">
        <v>16.4</v>
      </c>
      <c r="E41" s="5" t="s">
        <v>781</v>
      </c>
      <c r="F41" s="9" t="n">
        <v>86.9</v>
      </c>
      <c r="G41" s="9"/>
      <c r="H41" s="10" t="n">
        <v>232614</v>
      </c>
      <c r="I41" s="9" t="n">
        <v>14.2</v>
      </c>
      <c r="J41" s="5" t="n">
        <v>2657.4</v>
      </c>
      <c r="K41" s="9" t="n">
        <v>-0.3</v>
      </c>
      <c r="L41" s="5" t="s">
        <v>56</v>
      </c>
      <c r="M41" s="5" t="s">
        <v>782</v>
      </c>
      <c r="N41" s="5"/>
      <c r="O41" s="13" t="n">
        <f aca="false">IF(AND(TRUE(),ISNUMBER(D41),ISNUMBER(D40)),(D41-D40)*100,"")</f>
        <v>39.9999999999999</v>
      </c>
      <c r="P41" s="13" t="n">
        <f aca="false">IF(AND(ISNUMBER(F41),ISNUMBER(F40)),F41-F40,"")</f>
        <v>2.90000000000001</v>
      </c>
      <c r="Q41" s="8" t="n">
        <f aca="false">IF(COUNTIFS(Wage_Hikes!$A:$A,A41,Wage_Hikes!$D:$D,B41)&gt;0,1,0)</f>
        <v>0</v>
      </c>
      <c r="R41" s="12" t="n">
        <f aca="false">IFERROR(AVERAGEIFS(FX_USDINR!$B:$B,FX_USDINR!$C:$C,B41),"")</f>
        <v>83.0272666666667</v>
      </c>
      <c r="S41" s="5" t="n">
        <v>0</v>
      </c>
    </row>
    <row r="42" customFormat="false" ht="15" hidden="false" customHeight="false" outlineLevel="0" collapsed="false">
      <c r="A42" s="5" t="s">
        <v>778</v>
      </c>
      <c r="B42" s="5" t="s">
        <v>668</v>
      </c>
      <c r="C42" s="5" t="s">
        <v>861</v>
      </c>
      <c r="D42" s="9" t="n">
        <v>16.5</v>
      </c>
      <c r="E42" s="5" t="s">
        <v>781</v>
      </c>
      <c r="F42" s="9" t="n">
        <v>87.7</v>
      </c>
      <c r="G42" s="9"/>
      <c r="H42" s="10" t="n">
        <v>232911</v>
      </c>
      <c r="I42" s="9" t="n">
        <v>14.1</v>
      </c>
      <c r="J42" s="5" t="n">
        <v>2625.9</v>
      </c>
      <c r="K42" s="9" t="n">
        <v>-1</v>
      </c>
      <c r="L42" s="5" t="s">
        <v>56</v>
      </c>
      <c r="M42" s="5" t="s">
        <v>782</v>
      </c>
      <c r="N42" s="5"/>
      <c r="O42" s="13" t="n">
        <f aca="false">IF(AND(TRUE(),ISNUMBER(D42),ISNUMBER(D41)),(D42-D41)*100,"")</f>
        <v>10.0000000000001</v>
      </c>
      <c r="P42" s="13" t="n">
        <f aca="false">IF(AND(ISNUMBER(F42),ISNUMBER(F41)),F42-F41,"")</f>
        <v>0.799999999999997</v>
      </c>
      <c r="Q42" s="8" t="n">
        <f aca="false">IF(COUNTIFS(Wage_Hikes!$A:$A,A42,Wage_Hikes!$D:$D,B42)&gt;0,1,0)</f>
        <v>0</v>
      </c>
      <c r="R42" s="12" t="n">
        <f aca="false">IFERROR(AVERAGEIFS(FX_USDINR!$B:$B,FX_USDINR!$C:$C,B42),"")</f>
        <v>83.4147</v>
      </c>
      <c r="S42" s="5" t="n">
        <v>0</v>
      </c>
    </row>
    <row r="43" customFormat="false" ht="15" hidden="false" customHeight="false" outlineLevel="0" collapsed="false">
      <c r="A43" s="5" t="s">
        <v>778</v>
      </c>
      <c r="B43" s="5" t="s">
        <v>148</v>
      </c>
      <c r="C43" s="5" t="s">
        <v>862</v>
      </c>
      <c r="D43" s="9" t="n">
        <v>16.8</v>
      </c>
      <c r="E43" s="5" t="s">
        <v>781</v>
      </c>
      <c r="F43" s="9" t="n">
        <v>86.4</v>
      </c>
      <c r="G43" s="9"/>
      <c r="H43" s="10" t="n">
        <v>233889</v>
      </c>
      <c r="I43" s="9" t="n">
        <v>14.5</v>
      </c>
      <c r="J43" s="5" t="n">
        <v>2660.1</v>
      </c>
      <c r="K43" s="9" t="n">
        <v>0.6</v>
      </c>
      <c r="L43" s="5" t="s">
        <v>56</v>
      </c>
      <c r="M43" s="5" t="s">
        <v>782</v>
      </c>
      <c r="N43" s="5"/>
      <c r="O43" s="13" t="n">
        <f aca="false">IF(AND(TRUE(),ISNUMBER(D43),ISNUMBER(D42)),(D43-D42)*100,"")</f>
        <v>30.0000000000001</v>
      </c>
      <c r="P43" s="13" t="n">
        <f aca="false">IF(AND(ISNUMBER(F43),ISNUMBER(F42)),F43-F42,"")</f>
        <v>-1.3</v>
      </c>
      <c r="Q43" s="8" t="n">
        <f aca="false">IF(COUNTIFS(Wage_Hikes!$A:$A,A43,Wage_Hikes!$D:$D,B43)&gt;0,1,0)</f>
        <v>1</v>
      </c>
      <c r="R43" s="12" t="n">
        <f aca="false">IFERROR(AVERAGEIFS(FX_USDINR!$B:$B,FX_USDINR!$C:$C,B43),"")</f>
        <v>83.7553333333333</v>
      </c>
      <c r="S43" s="5" t="n">
        <v>0</v>
      </c>
    </row>
    <row r="44" customFormat="false" ht="15" hidden="false" customHeight="false" outlineLevel="0" collapsed="false">
      <c r="A44" s="5" t="s">
        <v>778</v>
      </c>
      <c r="B44" s="5" t="s">
        <v>143</v>
      </c>
      <c r="C44" s="5" t="s">
        <v>863</v>
      </c>
      <c r="D44" s="9" t="n">
        <v>17.5</v>
      </c>
      <c r="E44" s="5" t="s">
        <v>781</v>
      </c>
      <c r="F44" s="9" t="n">
        <v>83.5</v>
      </c>
      <c r="G44" s="9"/>
      <c r="H44" s="10" t="n">
        <v>232732</v>
      </c>
      <c r="I44" s="9" t="n">
        <v>15.3</v>
      </c>
      <c r="J44" s="5" t="n">
        <v>2629.1</v>
      </c>
      <c r="K44" s="9" t="n">
        <v>0.1</v>
      </c>
      <c r="L44" s="5" t="s">
        <v>56</v>
      </c>
      <c r="M44" s="5" t="s">
        <v>782</v>
      </c>
      <c r="N44" s="5"/>
      <c r="O44" s="13" t="n">
        <f aca="false">IF(AND(TRUE(),ISNUMBER(D44),ISNUMBER(D43)),(D44-D43)*100,"")</f>
        <v>69.9999999999999</v>
      </c>
      <c r="P44" s="13" t="n">
        <f aca="false">IF(AND(ISNUMBER(F44),ISNUMBER(F43)),F44-F43,"")</f>
        <v>-2.90000000000001</v>
      </c>
      <c r="Q44" s="8" t="n">
        <f aca="false">IF(COUNTIFS(Wage_Hikes!$A:$A,A44,Wage_Hikes!$D:$D,B44)&gt;0,1,0)</f>
        <v>0</v>
      </c>
      <c r="R44" s="12" t="n">
        <f aca="false">IFERROR(AVERAGEIFS(FX_USDINR!$B:$B,FX_USDINR!$C:$C,B44),"")</f>
        <v>84.4354</v>
      </c>
      <c r="S44" s="5" t="n">
        <v>0</v>
      </c>
    </row>
    <row r="45" customFormat="false" ht="15" hidden="false" customHeight="false" outlineLevel="0" collapsed="false">
      <c r="A45" s="5" t="s">
        <v>778</v>
      </c>
      <c r="B45" s="5" t="s">
        <v>128</v>
      </c>
      <c r="C45" s="5" t="s">
        <v>864</v>
      </c>
      <c r="D45" s="9" t="n">
        <v>17.5</v>
      </c>
      <c r="E45" s="5" t="s">
        <v>781</v>
      </c>
      <c r="F45" s="9" t="n">
        <v>84.6</v>
      </c>
      <c r="G45" s="9"/>
      <c r="H45" s="10" t="n">
        <v>233346</v>
      </c>
      <c r="I45" s="9" t="n">
        <v>15</v>
      </c>
      <c r="J45" s="5" t="n">
        <v>2596.5</v>
      </c>
      <c r="K45" s="9" t="n">
        <v>-0.8</v>
      </c>
      <c r="L45" s="5" t="s">
        <v>56</v>
      </c>
      <c r="M45" s="5" t="s">
        <v>782</v>
      </c>
      <c r="N45" s="5"/>
      <c r="O45" s="13" t="n">
        <f aca="false">IF(AND(TRUE(),ISNUMBER(D45),ISNUMBER(D44)),(D45-D44)*100,"")</f>
        <v>0</v>
      </c>
      <c r="P45" s="13" t="n">
        <f aca="false">IF(AND(ISNUMBER(F45),ISNUMBER(F44)),F45-F44,"")</f>
        <v>1.09999999999999</v>
      </c>
      <c r="Q45" s="8" t="n">
        <f aca="false">IF(COUNTIFS(Wage_Hikes!$A:$A,A45,Wage_Hikes!$D:$D,B45)&gt;0,1,0)</f>
        <v>0</v>
      </c>
      <c r="R45" s="12" t="n">
        <f aca="false">IFERROR(AVERAGEIFS(FX_USDINR!$B:$B,FX_USDINR!$C:$C,B45),"")</f>
        <v>86.6167666666667</v>
      </c>
      <c r="S45" s="5" t="n">
        <v>0</v>
      </c>
    </row>
    <row r="46" customFormat="false" ht="15" hidden="false" customHeight="false" outlineLevel="0" collapsed="false">
      <c r="A46" s="5" t="s">
        <v>778</v>
      </c>
      <c r="B46" s="5" t="s">
        <v>154</v>
      </c>
      <c r="C46" s="5" t="s">
        <v>865</v>
      </c>
      <c r="D46" s="9" t="n">
        <v>17.3</v>
      </c>
      <c r="E46" s="5" t="s">
        <v>781</v>
      </c>
      <c r="F46" s="9" t="n">
        <v>85</v>
      </c>
      <c r="G46" s="9"/>
      <c r="H46" s="10" t="n">
        <v>233232</v>
      </c>
      <c r="I46" s="9" t="n">
        <v>15.1</v>
      </c>
      <c r="J46" s="5" t="n">
        <v>2587.4</v>
      </c>
      <c r="K46" s="9" t="n">
        <v>-2</v>
      </c>
      <c r="L46" s="5" t="s">
        <v>47</v>
      </c>
      <c r="M46" s="5" t="s">
        <v>782</v>
      </c>
      <c r="N46" s="5"/>
      <c r="O46" s="13" t="n">
        <f aca="false">IF(AND(TRUE(),ISNUMBER(D46),ISNUMBER(D45)),(D46-D45)*100,"")</f>
        <v>-19.9999999999999</v>
      </c>
      <c r="P46" s="13" t="n">
        <f aca="false">IF(AND(ISNUMBER(F46),ISNUMBER(F45)),F46-F45,"")</f>
        <v>0.400000000000006</v>
      </c>
      <c r="Q46" s="8" t="n">
        <f aca="false">IF(COUNTIFS(Wage_Hikes!$A:$A,A46,Wage_Hikes!$D:$D,B46)&gt;0,1,0)</f>
        <v>0</v>
      </c>
      <c r="R46" s="12" t="n">
        <f aca="false">IFERROR(AVERAGEIFS(FX_USDINR!$B:$B,FX_USDINR!$C:$C,B46),"")</f>
        <v>85.5665</v>
      </c>
      <c r="S46" s="5" t="n">
        <v>0</v>
      </c>
    </row>
    <row r="47" customFormat="false" ht="15" hidden="false" customHeight="false" outlineLevel="0" collapsed="false">
      <c r="A47" s="5" t="s">
        <v>778</v>
      </c>
      <c r="B47" s="5" t="s">
        <v>506</v>
      </c>
      <c r="C47" s="5" t="s">
        <v>866</v>
      </c>
      <c r="D47" s="9" t="n">
        <v>16.7</v>
      </c>
      <c r="E47" s="5" t="s">
        <v>781</v>
      </c>
      <c r="F47" s="9" t="n">
        <v>86.4</v>
      </c>
      <c r="G47" s="9"/>
      <c r="H47" s="10" t="n">
        <v>235492</v>
      </c>
      <c r="I47" s="9" t="n">
        <v>14.9</v>
      </c>
      <c r="J47" s="5" t="n">
        <v>2604.3</v>
      </c>
      <c r="K47" s="9" t="n">
        <v>0.3</v>
      </c>
      <c r="L47" s="5" t="s">
        <v>47</v>
      </c>
      <c r="M47" s="5" t="s">
        <v>782</v>
      </c>
      <c r="N47" s="6" t="s">
        <v>867</v>
      </c>
      <c r="O47" s="13" t="n">
        <f aca="false">IF(AND(TRUE(),ISNUMBER(D47),ISNUMBER(D46)),(D47-D46)*100,"")</f>
        <v>-60.0000000000001</v>
      </c>
      <c r="P47" s="13" t="n">
        <f aca="false">IF(AND(ISNUMBER(F47),ISNUMBER(F46)),F47-F46,"")</f>
        <v>1.40000000000001</v>
      </c>
      <c r="Q47" s="8" t="n">
        <f aca="false">IF(COUNTIFS(Wage_Hikes!$A:$A,A47,Wage_Hikes!$D:$D,B47)&gt;0,1,0)</f>
        <v>0</v>
      </c>
      <c r="R47" s="12" t="n">
        <f aca="false">IFERROR(AVERAGEIFS(FX_USDINR!$B:$B,FX_USDINR!$C:$C,B47),"")</f>
        <v>87.3541</v>
      </c>
      <c r="S47" s="5" t="n">
        <v>1</v>
      </c>
    </row>
    <row r="48" customFormat="false" ht="15" hidden="false" customHeight="false" outlineLevel="0" collapsed="false">
      <c r="A48" s="5" t="s">
        <v>778</v>
      </c>
      <c r="B48" s="5" t="s">
        <v>632</v>
      </c>
      <c r="C48" s="5" t="s">
        <v>868</v>
      </c>
      <c r="D48" s="9" t="n">
        <v>17.6</v>
      </c>
      <c r="E48" s="5" t="s">
        <v>781</v>
      </c>
      <c r="F48" s="9" t="n">
        <v>83.1</v>
      </c>
      <c r="G48" s="9"/>
      <c r="H48" s="10" t="n">
        <v>242021</v>
      </c>
      <c r="I48" s="9" t="n">
        <v>14.2</v>
      </c>
      <c r="J48" s="5" t="n">
        <v>2635.4</v>
      </c>
      <c r="K48" s="9" t="n">
        <v>1.4</v>
      </c>
      <c r="L48" s="5" t="s">
        <v>47</v>
      </c>
      <c r="M48" s="5" t="s">
        <v>782</v>
      </c>
      <c r="N48" s="5"/>
      <c r="O48" s="13" t="n">
        <f aca="false">IF(AND(TRUE(),ISNUMBER(D48),ISNUMBER(D47)),(D48-D47)*100,"")</f>
        <v>90.0000000000002</v>
      </c>
      <c r="P48" s="13" t="n">
        <f aca="false">IF(AND(ISNUMBER(F48),ISNUMBER(F47)),F48-F47,"")</f>
        <v>-3.30000000000001</v>
      </c>
      <c r="Q48" s="8" t="n">
        <f aca="false">IF(COUNTIFS(Wage_Hikes!$A:$A,A48,Wage_Hikes!$D:$D,B48)&gt;0,1,0)</f>
        <v>0</v>
      </c>
      <c r="R48" s="12" t="n">
        <f aca="false">IFERROR(AVERAGEIFS(FX_USDINR!$B:$B,FX_USDINR!$C:$C,B48),"")</f>
        <v>89.0828333333333</v>
      </c>
      <c r="S48" s="5" t="n">
        <v>0</v>
      </c>
    </row>
    <row r="49" customFormat="false" ht="15" hidden="false" customHeight="false" outlineLevel="0" collapsed="false">
      <c r="A49" s="5" t="s">
        <v>778</v>
      </c>
      <c r="B49" s="5" t="s">
        <v>372</v>
      </c>
      <c r="C49" s="5" t="s">
        <v>869</v>
      </c>
      <c r="D49" s="9" t="n">
        <v>17.3</v>
      </c>
      <c r="E49" s="5" t="s">
        <v>781</v>
      </c>
      <c r="F49" s="9" t="n">
        <v>83.5</v>
      </c>
      <c r="G49" s="9"/>
      <c r="H49" s="10" t="n">
        <v>242156</v>
      </c>
      <c r="I49" s="9" t="n">
        <v>13.8</v>
      </c>
      <c r="J49" s="5" t="n">
        <v>2651</v>
      </c>
      <c r="K49" s="9" t="n">
        <v>0.2</v>
      </c>
      <c r="L49" s="5" t="s">
        <v>47</v>
      </c>
      <c r="M49" s="5" t="s">
        <v>782</v>
      </c>
      <c r="N49" s="5"/>
      <c r="O49" s="13" t="n">
        <f aca="false">IF(AND(TRUE(),ISNUMBER(D49),ISNUMBER(D48)),(D49-D48)*100,"")</f>
        <v>-30.0000000000001</v>
      </c>
      <c r="P49" s="13" t="n">
        <f aca="false">IF(AND(ISNUMBER(F49),ISNUMBER(F48)),F49-F48,"")</f>
        <v>0.400000000000006</v>
      </c>
      <c r="Q49" s="8" t="n">
        <f aca="false">IF(COUNTIFS(Wage_Hikes!$A:$A,A49,Wage_Hikes!$D:$D,B49)&gt;0,1,0)</f>
        <v>1</v>
      </c>
      <c r="R49" s="12" t="n">
        <f aca="false">IFERROR(AVERAGEIFS(FX_USDINR!$B:$B,FX_USDINR!$C:$C,B49),"")</f>
        <v>91.4888333333333</v>
      </c>
      <c r="S49" s="5" t="n">
        <v>0</v>
      </c>
    </row>
    <row r="50" customFormat="false" ht="15" hidden="false" customHeight="false" outlineLevel="0" collapsed="false">
      <c r="A50" s="5" t="s">
        <v>778</v>
      </c>
      <c r="B50" s="5" t="s">
        <v>120</v>
      </c>
      <c r="C50" s="5" t="s">
        <v>870</v>
      </c>
      <c r="D50" s="9" t="n">
        <v>16</v>
      </c>
      <c r="E50" s="5" t="s">
        <v>781</v>
      </c>
      <c r="F50" s="9" t="n">
        <v>83.6</v>
      </c>
      <c r="G50" s="9"/>
      <c r="H50" s="10" t="n">
        <v>243044</v>
      </c>
      <c r="I50" s="9" t="n">
        <v>13.9</v>
      </c>
      <c r="J50" s="5" t="n">
        <v>2614.5</v>
      </c>
      <c r="K50" s="9" t="n">
        <v>-1.2</v>
      </c>
      <c r="L50" s="5" t="s">
        <v>47</v>
      </c>
      <c r="M50" s="5" t="s">
        <v>782</v>
      </c>
      <c r="N50" s="5"/>
      <c r="O50" s="13" t="n">
        <f aca="false">IF(AND(TRUE(),ISNUMBER(D50),ISNUMBER(D49)),(D50-D49)*100,"")</f>
        <v>-130</v>
      </c>
      <c r="P50" s="13" t="n">
        <f aca="false">IF(AND(ISNUMBER(F50),ISNUMBER(F49)),F50-F49,"")</f>
        <v>0.0999999999999943</v>
      </c>
      <c r="Q50" s="8" t="n">
        <f aca="false">IF(COUNTIFS(Wage_Hikes!$A:$A,A50,Wage_Hikes!$D:$D,B50)&gt;0,1,0)</f>
        <v>0</v>
      </c>
      <c r="R50" s="12" t="n">
        <f aca="false">IFERROR(AVERAGEIFS(FX_USDINR!$B:$B,FX_USDINR!$C:$C,B50),"")</f>
        <v>94.658</v>
      </c>
      <c r="S50" s="5" t="n">
        <v>0</v>
      </c>
    </row>
    <row r="51" customFormat="false" ht="15" hidden="false" customHeight="false" outlineLevel="0" collapsed="false">
      <c r="A51" s="5" t="s">
        <v>778</v>
      </c>
      <c r="B51" s="5" t="s">
        <v>223</v>
      </c>
      <c r="C51" s="5" t="s">
        <v>871</v>
      </c>
      <c r="D51" s="9" t="n">
        <v>16.5</v>
      </c>
      <c r="E51" s="5" t="s">
        <v>781</v>
      </c>
      <c r="F51" s="9" t="n">
        <v>83.4</v>
      </c>
      <c r="G51" s="9"/>
      <c r="H51" s="10" t="n">
        <v>236328</v>
      </c>
      <c r="I51" s="9" t="n">
        <v>13.8</v>
      </c>
      <c r="J51" s="5" t="n">
        <v>2611.5</v>
      </c>
      <c r="K51" s="9" t="n">
        <v>0</v>
      </c>
      <c r="L51" s="5" t="s">
        <v>872</v>
      </c>
      <c r="M51" s="5" t="s">
        <v>782</v>
      </c>
      <c r="N51" s="5" t="s">
        <v>873</v>
      </c>
      <c r="O51" s="13" t="n">
        <f aca="false">IF(AND(TRUE(),ISNUMBER(D51),ISNUMBER(D50)),(D51-D50)*100,"")</f>
        <v>50</v>
      </c>
      <c r="P51" s="13" t="n">
        <f aca="false">IF(AND(ISNUMBER(F51),ISNUMBER(F50)),F51-F50,"")</f>
        <v>-0.199999999999989</v>
      </c>
      <c r="Q51" s="8" t="n">
        <f aca="false">IF(COUNTIFS(Wage_Hikes!$A:$A,A51,Wage_Hikes!$D:$D,B51)&gt;0,1,0)</f>
        <v>0</v>
      </c>
      <c r="R51" s="12" t="n">
        <f aca="false">IFERROR(AVERAGEIFS(FX_USDINR!$B:$B,FX_USDINR!$C:$C,B51),"")</f>
        <v>95.6046666666667</v>
      </c>
      <c r="S51" s="5" t="n">
        <v>0</v>
      </c>
    </row>
    <row r="52" customFormat="false" ht="23.85" hidden="false" customHeight="false" outlineLevel="0" collapsed="false">
      <c r="A52" s="5" t="s">
        <v>874</v>
      </c>
      <c r="B52" s="5" t="s">
        <v>493</v>
      </c>
      <c r="C52" s="5" t="s">
        <v>827</v>
      </c>
      <c r="D52" s="9" t="n">
        <v>21.5</v>
      </c>
      <c r="E52" s="5" t="s">
        <v>875</v>
      </c>
      <c r="F52" s="9" t="n">
        <v>82.3</v>
      </c>
      <c r="G52" s="9" t="n">
        <v>78.9</v>
      </c>
      <c r="H52" s="10" t="n">
        <v>228123</v>
      </c>
      <c r="I52" s="9"/>
      <c r="J52" s="5" t="n">
        <v>3060</v>
      </c>
      <c r="K52" s="9"/>
      <c r="L52" s="5" t="s">
        <v>453</v>
      </c>
      <c r="M52" s="5" t="s">
        <v>876</v>
      </c>
      <c r="N52" s="6" t="s">
        <v>877</v>
      </c>
      <c r="O52" s="11"/>
      <c r="P52" s="11"/>
      <c r="Q52" s="8" t="n">
        <f aca="false">IF(COUNTIFS(Wage_Hikes!$A:$A,A52,Wage_Hikes!$D:$D,B52)&gt;0,1,0)</f>
        <v>0</v>
      </c>
      <c r="R52" s="12" t="n">
        <f aca="false">IFERROR(AVERAGEIFS(FX_USDINR!$B:$B,FX_USDINR!$C:$C,B52),"")</f>
        <v>70.4578</v>
      </c>
      <c r="S52" s="5" t="n">
        <v>0</v>
      </c>
    </row>
    <row r="53" customFormat="false" ht="15" hidden="false" customHeight="false" outlineLevel="0" collapsed="false">
      <c r="A53" s="5" t="s">
        <v>874</v>
      </c>
      <c r="B53" s="5" t="s">
        <v>461</v>
      </c>
      <c r="C53" s="5" t="s">
        <v>828</v>
      </c>
      <c r="D53" s="9" t="n">
        <v>20.5</v>
      </c>
      <c r="E53" s="5" t="s">
        <v>875</v>
      </c>
      <c r="F53" s="9" t="n">
        <v>83.1</v>
      </c>
      <c r="G53" s="9"/>
      <c r="H53" s="10"/>
      <c r="I53" s="9"/>
      <c r="J53" s="5"/>
      <c r="K53" s="9"/>
      <c r="L53" s="5" t="s">
        <v>458</v>
      </c>
      <c r="M53" s="5" t="s">
        <v>878</v>
      </c>
      <c r="N53" s="6" t="s">
        <v>879</v>
      </c>
      <c r="O53" s="13" t="n">
        <f aca="false">IF(AND(TRUE(),ISNUMBER(D53),ISNUMBER(D52)),(D53-D52)*100,"")</f>
        <v>-100</v>
      </c>
      <c r="P53" s="13" t="n">
        <f aca="false">IF(AND(ISNUMBER(F53),ISNUMBER(F52)),F53-F52,"")</f>
        <v>0.799999999999997</v>
      </c>
      <c r="Q53" s="8" t="n">
        <f aca="false">IF(COUNTIFS(Wage_Hikes!$A:$A,A53,Wage_Hikes!$D:$D,B53)&gt;0,1,0)</f>
        <v>0</v>
      </c>
      <c r="R53" s="12" t="n">
        <f aca="false">IFERROR(AVERAGEIFS(FX_USDINR!$B:$B,FX_USDINR!$C:$C,B53),"")</f>
        <v>69.5258333333333</v>
      </c>
      <c r="S53" s="5" t="n">
        <v>0</v>
      </c>
    </row>
    <row r="54" customFormat="false" ht="15" hidden="false" customHeight="false" outlineLevel="0" collapsed="false">
      <c r="A54" s="5" t="s">
        <v>874</v>
      </c>
      <c r="B54" s="5" t="s">
        <v>485</v>
      </c>
      <c r="C54" s="5" t="s">
        <v>829</v>
      </c>
      <c r="D54" s="9" t="n">
        <v>21.7</v>
      </c>
      <c r="E54" s="5" t="s">
        <v>875</v>
      </c>
      <c r="F54" s="9" t="n">
        <v>84.9</v>
      </c>
      <c r="G54" s="9" t="n">
        <v>81.6</v>
      </c>
      <c r="H54" s="10" t="n">
        <v>236486</v>
      </c>
      <c r="I54" s="9" t="n">
        <v>18.3</v>
      </c>
      <c r="J54" s="5" t="n">
        <v>3210</v>
      </c>
      <c r="K54" s="9"/>
      <c r="L54" s="5" t="s">
        <v>880</v>
      </c>
      <c r="M54" s="5" t="s">
        <v>876</v>
      </c>
      <c r="N54" s="6" t="s">
        <v>881</v>
      </c>
      <c r="O54" s="13" t="n">
        <f aca="false">IF(AND(TRUE(),ISNUMBER(D54),ISNUMBER(D53)),(D54-D53)*100,"")</f>
        <v>120</v>
      </c>
      <c r="P54" s="13" t="n">
        <f aca="false">IF(AND(ISNUMBER(F54),ISNUMBER(F53)),F54-F53,"")</f>
        <v>1.80000000000001</v>
      </c>
      <c r="Q54" s="8" t="n">
        <f aca="false">IF(COUNTIFS(Wage_Hikes!$A:$A,A54,Wage_Hikes!$D:$D,B54)&gt;0,1,0)</f>
        <v>0</v>
      </c>
      <c r="R54" s="12" t="n">
        <f aca="false">IFERROR(AVERAGEIFS(FX_USDINR!$B:$B,FX_USDINR!$C:$C,B54),"")</f>
        <v>70.4130666666667</v>
      </c>
      <c r="S54" s="5" t="n">
        <v>0</v>
      </c>
    </row>
    <row r="55" customFormat="false" ht="15" hidden="false" customHeight="false" outlineLevel="0" collapsed="false">
      <c r="A55" s="5" t="s">
        <v>874</v>
      </c>
      <c r="B55" s="5" t="s">
        <v>830</v>
      </c>
      <c r="C55" s="5" t="s">
        <v>831</v>
      </c>
      <c r="D55" s="9" t="n">
        <v>21.9</v>
      </c>
      <c r="E55" s="5" t="s">
        <v>875</v>
      </c>
      <c r="F55" s="9" t="n">
        <v>84.4</v>
      </c>
      <c r="G55" s="9" t="n">
        <v>80.4</v>
      </c>
      <c r="H55" s="10" t="n">
        <v>243454</v>
      </c>
      <c r="I55" s="9"/>
      <c r="J55" s="5" t="n">
        <v>3243</v>
      </c>
      <c r="K55" s="9"/>
      <c r="L55" s="5" t="s">
        <v>453</v>
      </c>
      <c r="M55" s="5" t="s">
        <v>876</v>
      </c>
      <c r="N55" s="6" t="s">
        <v>882</v>
      </c>
      <c r="O55" s="13" t="n">
        <f aca="false">IF(AND(TRUE(),ISNUMBER(D55),ISNUMBER(D54)),(D55-D54)*100,"")</f>
        <v>19.9999999999999</v>
      </c>
      <c r="P55" s="13" t="n">
        <f aca="false">IF(AND(ISNUMBER(F55),ISNUMBER(F54)),F55-F54,"")</f>
        <v>-0.5</v>
      </c>
      <c r="Q55" s="8" t="n">
        <f aca="false">IF(COUNTIFS(Wage_Hikes!$A:$A,A55,Wage_Hikes!$D:$D,B55)&gt;0,1,0)</f>
        <v>0</v>
      </c>
      <c r="R55" s="12" t="n">
        <f aca="false">IFERROR(AVERAGEIFS(FX_USDINR!$B:$B,FX_USDINR!$C:$C,B55),"")</f>
        <v>71.2198333333333</v>
      </c>
      <c r="S55" s="5" t="n">
        <v>0</v>
      </c>
    </row>
    <row r="56" customFormat="false" ht="15" hidden="false" customHeight="false" outlineLevel="0" collapsed="false">
      <c r="A56" s="5" t="s">
        <v>874</v>
      </c>
      <c r="B56" s="5" t="s">
        <v>832</v>
      </c>
      <c r="C56" s="5" t="s">
        <v>833</v>
      </c>
      <c r="D56" s="9" t="n">
        <v>21.1</v>
      </c>
      <c r="E56" s="5" t="s">
        <v>875</v>
      </c>
      <c r="F56" s="9" t="n">
        <v>83.5</v>
      </c>
      <c r="G56" s="9" t="n">
        <v>79</v>
      </c>
      <c r="H56" s="10" t="n">
        <v>242371</v>
      </c>
      <c r="I56" s="9" t="n">
        <v>15.3</v>
      </c>
      <c r="J56" s="5" t="n">
        <v>3197</v>
      </c>
      <c r="K56" s="9"/>
      <c r="L56" s="5" t="s">
        <v>883</v>
      </c>
      <c r="M56" s="5" t="s">
        <v>876</v>
      </c>
      <c r="N56" s="6" t="s">
        <v>884</v>
      </c>
      <c r="O56" s="13" t="n">
        <f aca="false">IF(AND(TRUE(),ISNUMBER(D56),ISNUMBER(D55)),(D56-D55)*100,"")</f>
        <v>-79.9999999999997</v>
      </c>
      <c r="P56" s="13" t="n">
        <f aca="false">IF(AND(ISNUMBER(F56),ISNUMBER(F55)),F56-F55,"")</f>
        <v>-0.900000000000006</v>
      </c>
      <c r="Q56" s="8" t="n">
        <f aca="false">IF(COUNTIFS(Wage_Hikes!$A:$A,A56,Wage_Hikes!$D:$D,B56)&gt;0,1,0)</f>
        <v>0</v>
      </c>
      <c r="R56" s="12" t="n">
        <f aca="false">IFERROR(AVERAGEIFS(FX_USDINR!$B:$B,FX_USDINR!$C:$C,B56),"")</f>
        <v>72.4522333333333</v>
      </c>
      <c r="S56" s="5" t="n">
        <v>0</v>
      </c>
    </row>
    <row r="57" customFormat="false" ht="15" hidden="false" customHeight="false" outlineLevel="0" collapsed="false">
      <c r="A57" s="5" t="s">
        <v>874</v>
      </c>
      <c r="B57" s="5" t="s">
        <v>175</v>
      </c>
      <c r="C57" s="5" t="s">
        <v>834</v>
      </c>
      <c r="D57" s="9" t="n">
        <v>22.7</v>
      </c>
      <c r="E57" s="5" t="s">
        <v>875</v>
      </c>
      <c r="F57" s="9" t="n">
        <v>81.2</v>
      </c>
      <c r="G57" s="9" t="n">
        <v>78.2</v>
      </c>
      <c r="H57" s="10" t="n">
        <v>239233</v>
      </c>
      <c r="I57" s="9" t="n">
        <v>11.7</v>
      </c>
      <c r="J57" s="5" t="n">
        <v>3121</v>
      </c>
      <c r="K57" s="9"/>
      <c r="L57" s="5" t="s">
        <v>447</v>
      </c>
      <c r="M57" s="5" t="s">
        <v>876</v>
      </c>
      <c r="N57" s="5" t="s">
        <v>885</v>
      </c>
      <c r="O57" s="13" t="n">
        <f aca="false">IF(AND(TRUE(),ISNUMBER(D57),ISNUMBER(D56)),(D57-D56)*100,"")</f>
        <v>160</v>
      </c>
      <c r="P57" s="13" t="n">
        <f aca="false">IF(AND(ISNUMBER(F57),ISNUMBER(F56)),F57-F56,"")</f>
        <v>-2.3</v>
      </c>
      <c r="Q57" s="8" t="n">
        <f aca="false">IF(COUNTIFS(Wage_Hikes!$A:$A,A57,Wage_Hikes!$D:$D,B57)&gt;0,1,0)</f>
        <v>0</v>
      </c>
      <c r="R57" s="12" t="n">
        <f aca="false">IFERROR(AVERAGEIFS(FX_USDINR!$B:$B,FX_USDINR!$C:$C,B57),"")</f>
        <v>75.8444666666667</v>
      </c>
      <c r="S57" s="5" t="n">
        <v>1</v>
      </c>
    </row>
    <row r="58" customFormat="false" ht="15" hidden="false" customHeight="false" outlineLevel="0" collapsed="false">
      <c r="A58" s="5" t="s">
        <v>874</v>
      </c>
      <c r="B58" s="5" t="s">
        <v>836</v>
      </c>
      <c r="C58" s="5" t="s">
        <v>837</v>
      </c>
      <c r="D58" s="9" t="n">
        <v>25.4</v>
      </c>
      <c r="E58" s="5" t="s">
        <v>875</v>
      </c>
      <c r="F58" s="9" t="n">
        <v>83.6</v>
      </c>
      <c r="G58" s="9" t="n">
        <v>80.6</v>
      </c>
      <c r="H58" s="10" t="n">
        <v>240208</v>
      </c>
      <c r="I58" s="9" t="n">
        <v>7.8</v>
      </c>
      <c r="J58" s="5" t="n">
        <v>3312</v>
      </c>
      <c r="K58" s="9"/>
      <c r="L58" s="5" t="s">
        <v>447</v>
      </c>
      <c r="M58" s="5" t="s">
        <v>876</v>
      </c>
      <c r="N58" s="5" t="s">
        <v>886</v>
      </c>
      <c r="O58" s="13" t="n">
        <f aca="false">IF(AND(TRUE(),ISNUMBER(D58),ISNUMBER(D57)),(D58-D57)*100,"")</f>
        <v>270</v>
      </c>
      <c r="P58" s="13" t="n">
        <f aca="false">IF(AND(ISNUMBER(F58),ISNUMBER(F57)),F58-F57,"")</f>
        <v>2.39999999999999</v>
      </c>
      <c r="Q58" s="8" t="n">
        <f aca="false">IF(COUNTIFS(Wage_Hikes!$A:$A,A58,Wage_Hikes!$D:$D,B58)&gt;0,1,0)</f>
        <v>0</v>
      </c>
      <c r="R58" s="12" t="n">
        <f aca="false">IFERROR(AVERAGEIFS(FX_USDINR!$B:$B,FX_USDINR!$C:$C,B58),"")</f>
        <v>74.3392</v>
      </c>
      <c r="S58" s="5" t="n">
        <v>0</v>
      </c>
    </row>
    <row r="59" customFormat="false" ht="15" hidden="false" customHeight="false" outlineLevel="0" collapsed="false">
      <c r="A59" s="5" t="s">
        <v>874</v>
      </c>
      <c r="B59" s="5" t="s">
        <v>79</v>
      </c>
      <c r="C59" s="5" t="s">
        <v>838</v>
      </c>
      <c r="D59" s="9" t="n">
        <v>25.4</v>
      </c>
      <c r="E59" s="5" t="s">
        <v>875</v>
      </c>
      <c r="F59" s="9" t="n">
        <v>86.3</v>
      </c>
      <c r="G59" s="9" t="n">
        <v>82.3</v>
      </c>
      <c r="H59" s="10" t="n">
        <v>249312</v>
      </c>
      <c r="I59" s="9" t="n">
        <v>11</v>
      </c>
      <c r="J59" s="5" t="n">
        <v>3516</v>
      </c>
      <c r="K59" s="9"/>
      <c r="L59" s="5" t="s">
        <v>887</v>
      </c>
      <c r="M59" s="5" t="s">
        <v>876</v>
      </c>
      <c r="N59" s="6" t="s">
        <v>888</v>
      </c>
      <c r="O59" s="13" t="n">
        <f aca="false">IF(AND(TRUE(),ISNUMBER(D59),ISNUMBER(D58)),(D59-D58)*100,"")</f>
        <v>0</v>
      </c>
      <c r="P59" s="13" t="n">
        <f aca="false">IF(AND(ISNUMBER(F59),ISNUMBER(F58)),F59-F58,"")</f>
        <v>2.7</v>
      </c>
      <c r="Q59" s="8" t="n">
        <f aca="false">IF(COUNTIFS(Wage_Hikes!$A:$A,A59,Wage_Hikes!$D:$D,B59)&gt;0,1,0)</f>
        <v>0</v>
      </c>
      <c r="R59" s="12" t="n">
        <f aca="false">IFERROR(AVERAGEIFS(FX_USDINR!$B:$B,FX_USDINR!$C:$C,B59),"")</f>
        <v>73.8051333333333</v>
      </c>
      <c r="S59" s="5" t="n">
        <v>0</v>
      </c>
    </row>
    <row r="60" customFormat="false" ht="15" hidden="false" customHeight="false" outlineLevel="0" collapsed="false">
      <c r="A60" s="5" t="s">
        <v>874</v>
      </c>
      <c r="B60" s="5" t="s">
        <v>839</v>
      </c>
      <c r="C60" s="5" t="s">
        <v>840</v>
      </c>
      <c r="D60" s="9" t="n">
        <v>24.5</v>
      </c>
      <c r="E60" s="5" t="s">
        <v>875</v>
      </c>
      <c r="F60" s="9" t="n">
        <v>87.7</v>
      </c>
      <c r="G60" s="9" t="n">
        <v>82.2</v>
      </c>
      <c r="H60" s="10" t="n">
        <v>259619</v>
      </c>
      <c r="I60" s="9" t="n">
        <v>15.2</v>
      </c>
      <c r="J60" s="5" t="n">
        <v>3613</v>
      </c>
      <c r="K60" s="9"/>
      <c r="L60" s="5" t="s">
        <v>442</v>
      </c>
      <c r="M60" s="5" t="s">
        <v>876</v>
      </c>
      <c r="N60" s="5" t="s">
        <v>886</v>
      </c>
      <c r="O60" s="13" t="n">
        <f aca="false">IF(AND(TRUE(),ISNUMBER(D60),ISNUMBER(D59)),(D60-D59)*100,"")</f>
        <v>-89.9999999999999</v>
      </c>
      <c r="P60" s="13" t="n">
        <f aca="false">IF(AND(ISNUMBER(F60),ISNUMBER(F59)),F60-F59,"")</f>
        <v>1.40000000000001</v>
      </c>
      <c r="Q60" s="8" t="n">
        <f aca="false">IF(COUNTIFS(Wage_Hikes!$A:$A,A60,Wage_Hikes!$D:$D,B60)&gt;0,1,0)</f>
        <v>1</v>
      </c>
      <c r="R60" s="12" t="n">
        <f aca="false">IFERROR(AVERAGEIFS(FX_USDINR!$B:$B,FX_USDINR!$C:$C,B60),"")</f>
        <v>72.9118333333333</v>
      </c>
      <c r="S60" s="5" t="n">
        <v>0</v>
      </c>
    </row>
    <row r="61" customFormat="false" ht="15" hidden="false" customHeight="false" outlineLevel="0" collapsed="false">
      <c r="A61" s="5" t="s">
        <v>874</v>
      </c>
      <c r="B61" s="5" t="s">
        <v>841</v>
      </c>
      <c r="C61" s="5" t="s">
        <v>842</v>
      </c>
      <c r="D61" s="9" t="n">
        <v>23.7</v>
      </c>
      <c r="E61" s="5" t="s">
        <v>875</v>
      </c>
      <c r="F61" s="9" t="n">
        <v>88.5</v>
      </c>
      <c r="G61" s="9" t="n">
        <v>83.3</v>
      </c>
      <c r="H61" s="10" t="n">
        <v>267953</v>
      </c>
      <c r="I61" s="9" t="n">
        <v>13.9</v>
      </c>
      <c r="J61" s="5" t="n">
        <v>3782</v>
      </c>
      <c r="K61" s="9"/>
      <c r="L61" s="5" t="s">
        <v>287</v>
      </c>
      <c r="M61" s="5" t="s">
        <v>876</v>
      </c>
      <c r="N61" s="5"/>
      <c r="O61" s="13" t="n">
        <f aca="false">IF(AND(TRUE(),ISNUMBER(D61),ISNUMBER(D60)),(D61-D60)*100,"")</f>
        <v>-80.0000000000001</v>
      </c>
      <c r="P61" s="13" t="n">
        <f aca="false">IF(AND(ISNUMBER(F61),ISNUMBER(F60)),F61-F60,"")</f>
        <v>0.799999999999997</v>
      </c>
      <c r="Q61" s="8" t="n">
        <f aca="false">IF(COUNTIFS(Wage_Hikes!$A:$A,A61,Wage_Hikes!$D:$D,B61)&gt;0,1,0)</f>
        <v>0</v>
      </c>
      <c r="R61" s="12" t="n">
        <f aca="false">IFERROR(AVERAGEIFS(FX_USDINR!$B:$B,FX_USDINR!$C:$C,B61),"")</f>
        <v>73.7677666666667</v>
      </c>
      <c r="S61" s="5" t="n">
        <v>0</v>
      </c>
    </row>
    <row r="62" customFormat="false" ht="15" hidden="false" customHeight="false" outlineLevel="0" collapsed="false">
      <c r="A62" s="5" t="s">
        <v>874</v>
      </c>
      <c r="B62" s="5" t="s">
        <v>844</v>
      </c>
      <c r="C62" s="5" t="s">
        <v>845</v>
      </c>
      <c r="D62" s="9" t="n">
        <v>23.6</v>
      </c>
      <c r="E62" s="5" t="s">
        <v>875</v>
      </c>
      <c r="F62" s="9" t="n">
        <v>89.2</v>
      </c>
      <c r="G62" s="9" t="n">
        <v>84.1</v>
      </c>
      <c r="H62" s="10" t="n">
        <v>279617</v>
      </c>
      <c r="I62" s="9" t="n">
        <v>20.1</v>
      </c>
      <c r="J62" s="5" t="n">
        <v>3998</v>
      </c>
      <c r="K62" s="9"/>
      <c r="L62" s="5" t="s">
        <v>463</v>
      </c>
      <c r="M62" s="5" t="s">
        <v>876</v>
      </c>
      <c r="N62" s="5"/>
      <c r="O62" s="13" t="n">
        <f aca="false">IF(AND(TRUE(),ISNUMBER(D62),ISNUMBER(D61)),(D62-D61)*100,"")</f>
        <v>-9.99999999999979</v>
      </c>
      <c r="P62" s="13" t="n">
        <f aca="false">IF(AND(ISNUMBER(F62),ISNUMBER(F61)),F62-F61,"")</f>
        <v>0.700000000000003</v>
      </c>
      <c r="Q62" s="8" t="n">
        <f aca="false">IF(COUNTIFS(Wage_Hikes!$A:$A,A62,Wage_Hikes!$D:$D,B62)&gt;0,1,0)</f>
        <v>0</v>
      </c>
      <c r="R62" s="12" t="n">
        <f aca="false">IFERROR(AVERAGEIFS(FX_USDINR!$B:$B,FX_USDINR!$C:$C,B62),"")</f>
        <v>74.0967333333333</v>
      </c>
      <c r="S62" s="5" t="n">
        <v>0</v>
      </c>
    </row>
    <row r="63" customFormat="false" ht="15" hidden="false" customHeight="false" outlineLevel="0" collapsed="false">
      <c r="A63" s="5" t="s">
        <v>874</v>
      </c>
      <c r="B63" s="5" t="s">
        <v>846</v>
      </c>
      <c r="C63" s="5" t="s">
        <v>847</v>
      </c>
      <c r="D63" s="9" t="n">
        <v>23.5</v>
      </c>
      <c r="E63" s="5" t="s">
        <v>875</v>
      </c>
      <c r="F63" s="9" t="n">
        <v>88.5</v>
      </c>
      <c r="G63" s="9" t="n">
        <v>82.7</v>
      </c>
      <c r="H63" s="10" t="n">
        <v>292067</v>
      </c>
      <c r="I63" s="9" t="n">
        <v>25.5</v>
      </c>
      <c r="J63" s="5" t="n">
        <v>4250</v>
      </c>
      <c r="K63" s="9"/>
      <c r="L63" s="5" t="s">
        <v>463</v>
      </c>
      <c r="M63" s="5" t="s">
        <v>876</v>
      </c>
      <c r="N63" s="5"/>
      <c r="O63" s="13" t="n">
        <f aca="false">IF(AND(TRUE(),ISNUMBER(D63),ISNUMBER(D62)),(D63-D62)*100,"")</f>
        <v>-10.0000000000001</v>
      </c>
      <c r="P63" s="13" t="n">
        <f aca="false">IF(AND(ISNUMBER(F63),ISNUMBER(F62)),F63-F62,"")</f>
        <v>-0.700000000000003</v>
      </c>
      <c r="Q63" s="8" t="n">
        <f aca="false">IF(COUNTIFS(Wage_Hikes!$A:$A,A63,Wage_Hikes!$D:$D,B63)&gt;0,1,0)</f>
        <v>0</v>
      </c>
      <c r="R63" s="12" t="n">
        <f aca="false">IFERROR(AVERAGEIFS(FX_USDINR!$B:$B,FX_USDINR!$C:$C,B63),"")</f>
        <v>74.9306</v>
      </c>
      <c r="S63" s="5" t="n">
        <v>0</v>
      </c>
    </row>
    <row r="64" customFormat="false" ht="15" hidden="false" customHeight="false" outlineLevel="0" collapsed="false">
      <c r="A64" s="5" t="s">
        <v>874</v>
      </c>
      <c r="B64" s="5" t="s">
        <v>641</v>
      </c>
      <c r="C64" s="5" t="s">
        <v>848</v>
      </c>
      <c r="D64" s="9" t="n">
        <v>21.5</v>
      </c>
      <c r="E64" s="5" t="s">
        <v>875</v>
      </c>
      <c r="F64" s="9" t="n">
        <v>87</v>
      </c>
      <c r="G64" s="9" t="n">
        <v>80</v>
      </c>
      <c r="H64" s="10" t="n">
        <v>314015</v>
      </c>
      <c r="I64" s="9" t="n">
        <v>27.7</v>
      </c>
      <c r="J64" s="5" t="n">
        <v>4280</v>
      </c>
      <c r="K64" s="9"/>
      <c r="L64" s="5" t="s">
        <v>889</v>
      </c>
      <c r="M64" s="5" t="s">
        <v>876</v>
      </c>
      <c r="N64" s="5" t="s">
        <v>890</v>
      </c>
      <c r="O64" s="13" t="n">
        <f aca="false">IF(AND(TRUE(),ISNUMBER(D64),ISNUMBER(D63)),(D64-D63)*100,"")</f>
        <v>-200</v>
      </c>
      <c r="P64" s="13" t="n">
        <f aca="false">IF(AND(ISNUMBER(F64),ISNUMBER(F63)),F64-F63,"")</f>
        <v>-1.5</v>
      </c>
      <c r="Q64" s="8" t="n">
        <f aca="false">IF(COUNTIFS(Wage_Hikes!$A:$A,A64,Wage_Hikes!$D:$D,B64)&gt;0,1,0)</f>
        <v>0</v>
      </c>
      <c r="R64" s="12" t="n">
        <f aca="false">IFERROR(AVERAGEIFS(FX_USDINR!$B:$B,FX_USDINR!$C:$C,B64),"")</f>
        <v>75.1888666666667</v>
      </c>
      <c r="S64" s="5" t="n">
        <v>0</v>
      </c>
    </row>
    <row r="65" customFormat="false" ht="15" hidden="false" customHeight="false" outlineLevel="0" collapsed="false">
      <c r="A65" s="5" t="s">
        <v>874</v>
      </c>
      <c r="B65" s="5" t="s">
        <v>133</v>
      </c>
      <c r="C65" s="5" t="s">
        <v>849</v>
      </c>
      <c r="D65" s="9" t="n">
        <v>20</v>
      </c>
      <c r="E65" s="5" t="s">
        <v>875</v>
      </c>
      <c r="F65" s="9" t="n">
        <v>84.7</v>
      </c>
      <c r="G65" s="9" t="n">
        <v>77.6</v>
      </c>
      <c r="H65" s="10" t="n">
        <v>335186</v>
      </c>
      <c r="I65" s="9" t="n">
        <v>28.4</v>
      </c>
      <c r="J65" s="5" t="n">
        <v>4444</v>
      </c>
      <c r="K65" s="9"/>
      <c r="L65" s="5" t="s">
        <v>891</v>
      </c>
      <c r="M65" s="5" t="s">
        <v>876</v>
      </c>
      <c r="N65" s="5"/>
      <c r="O65" s="13" t="n">
        <f aca="false">IF(AND(TRUE(),ISNUMBER(D65),ISNUMBER(D64)),(D65-D64)*100,"")</f>
        <v>-150</v>
      </c>
      <c r="P65" s="13" t="n">
        <f aca="false">IF(AND(ISNUMBER(F65),ISNUMBER(F64)),F65-F64,"")</f>
        <v>-2.3</v>
      </c>
      <c r="Q65" s="8" t="n">
        <f aca="false">IF(COUNTIFS(Wage_Hikes!$A:$A,A65,Wage_Hikes!$D:$D,B65)&gt;0,1,0)</f>
        <v>1</v>
      </c>
      <c r="R65" s="12" t="n">
        <f aca="false">IFERROR(AVERAGEIFS(FX_USDINR!$B:$B,FX_USDINR!$C:$C,B65),"")</f>
        <v>77.1850666666667</v>
      </c>
      <c r="S65" s="5" t="n">
        <v>0</v>
      </c>
    </row>
    <row r="66" customFormat="false" ht="15" hidden="false" customHeight="false" outlineLevel="0" collapsed="false">
      <c r="A66" s="5" t="s">
        <v>874</v>
      </c>
      <c r="B66" s="5" t="s">
        <v>650</v>
      </c>
      <c r="C66" s="5" t="s">
        <v>850</v>
      </c>
      <c r="D66" s="9" t="n">
        <v>21.5</v>
      </c>
      <c r="E66" s="5" t="s">
        <v>875</v>
      </c>
      <c r="F66" s="9" t="n">
        <v>83.6</v>
      </c>
      <c r="G66" s="9" t="n">
        <v>76.6</v>
      </c>
      <c r="H66" s="10" t="n">
        <v>345218</v>
      </c>
      <c r="I66" s="9" t="n">
        <v>27.1</v>
      </c>
      <c r="J66" s="5" t="n">
        <v>4555</v>
      </c>
      <c r="K66" s="9"/>
      <c r="L66" s="5" t="s">
        <v>296</v>
      </c>
      <c r="M66" s="5" t="s">
        <v>876</v>
      </c>
      <c r="N66" s="5"/>
      <c r="O66" s="13" t="n">
        <f aca="false">IF(AND(TRUE(),ISNUMBER(D66),ISNUMBER(D65)),(D66-D65)*100,"")</f>
        <v>150</v>
      </c>
      <c r="P66" s="13" t="n">
        <f aca="false">IF(AND(ISNUMBER(F66),ISNUMBER(F65)),F66-F65,"")</f>
        <v>-1.10000000000001</v>
      </c>
      <c r="Q66" s="8" t="n">
        <f aca="false">IF(COUNTIFS(Wage_Hikes!$A:$A,A66,Wage_Hikes!$D:$D,B66)&gt;0,1,0)</f>
        <v>0</v>
      </c>
      <c r="R66" s="12" t="n">
        <f aca="false">IFERROR(AVERAGEIFS(FX_USDINR!$B:$B,FX_USDINR!$C:$C,B66),"")</f>
        <v>79.7839333333333</v>
      </c>
      <c r="S66" s="5" t="n">
        <v>0</v>
      </c>
    </row>
    <row r="67" customFormat="false" ht="15" hidden="false" customHeight="false" outlineLevel="0" collapsed="false">
      <c r="A67" s="5" t="s">
        <v>874</v>
      </c>
      <c r="B67" s="5" t="s">
        <v>161</v>
      </c>
      <c r="C67" s="5" t="s">
        <v>851</v>
      </c>
      <c r="D67" s="9" t="n">
        <v>21.5</v>
      </c>
      <c r="E67" s="5" t="s">
        <v>875</v>
      </c>
      <c r="F67" s="9" t="n">
        <v>81.7</v>
      </c>
      <c r="G67" s="9" t="n">
        <v>77.1</v>
      </c>
      <c r="H67" s="10" t="n">
        <v>346845</v>
      </c>
      <c r="I67" s="9" t="n">
        <v>24.3</v>
      </c>
      <c r="J67" s="5" t="n">
        <v>4659</v>
      </c>
      <c r="K67" s="9"/>
      <c r="L67" s="5" t="s">
        <v>892</v>
      </c>
      <c r="M67" s="5" t="s">
        <v>876</v>
      </c>
      <c r="N67" s="5"/>
      <c r="O67" s="13" t="n">
        <f aca="false">IF(AND(TRUE(),ISNUMBER(D67),ISNUMBER(D66)),(D67-D66)*100,"")</f>
        <v>0</v>
      </c>
      <c r="P67" s="13" t="n">
        <f aca="false">IF(AND(ISNUMBER(F67),ISNUMBER(F66)),F67-F66,"")</f>
        <v>-1.89999999999999</v>
      </c>
      <c r="Q67" s="8" t="n">
        <f aca="false">IF(COUNTIFS(Wage_Hikes!$A:$A,A67,Wage_Hikes!$D:$D,B67)&gt;0,1,0)</f>
        <v>0</v>
      </c>
      <c r="R67" s="12" t="n">
        <f aca="false">IFERROR(AVERAGEIFS(FX_USDINR!$B:$B,FX_USDINR!$C:$C,B67),"")</f>
        <v>82.1486</v>
      </c>
      <c r="S67" s="5" t="n">
        <v>0</v>
      </c>
    </row>
    <row r="68" customFormat="false" ht="15" hidden="false" customHeight="false" outlineLevel="0" collapsed="false">
      <c r="A68" s="5" t="s">
        <v>874</v>
      </c>
      <c r="B68" s="5" t="s">
        <v>853</v>
      </c>
      <c r="C68" s="5" t="s">
        <v>854</v>
      </c>
      <c r="D68" s="9" t="n">
        <v>21</v>
      </c>
      <c r="E68" s="5" t="s">
        <v>875</v>
      </c>
      <c r="F68" s="9" t="n">
        <v>80</v>
      </c>
      <c r="G68" s="9" t="n">
        <v>76.9</v>
      </c>
      <c r="H68" s="10" t="n">
        <v>343234</v>
      </c>
      <c r="I68" s="9" t="n">
        <v>20.9</v>
      </c>
      <c r="J68" s="5" t="n">
        <v>4554</v>
      </c>
      <c r="K68" s="9"/>
      <c r="L68" s="5" t="s">
        <v>291</v>
      </c>
      <c r="M68" s="5" t="s">
        <v>876</v>
      </c>
      <c r="N68" s="5"/>
      <c r="O68" s="13" t="n">
        <f aca="false">IF(AND(TRUE(),ISNUMBER(D68),ISNUMBER(D67)),(D68-D67)*100,"")</f>
        <v>-50</v>
      </c>
      <c r="P68" s="13" t="n">
        <f aca="false">IF(AND(ISNUMBER(F68),ISNUMBER(F67)),F68-F67,"")</f>
        <v>-1.7</v>
      </c>
      <c r="Q68" s="8" t="n">
        <f aca="false">IF(COUNTIFS(Wage_Hikes!$A:$A,A68,Wage_Hikes!$D:$D,B68)&gt;0,1,0)</f>
        <v>0</v>
      </c>
      <c r="R68" s="12" t="n">
        <f aca="false">IFERROR(AVERAGEIFS(FX_USDINR!$B:$B,FX_USDINR!$C:$C,B68),"")</f>
        <v>82.2023333333333</v>
      </c>
      <c r="S68" s="5" t="n">
        <v>0</v>
      </c>
    </row>
    <row r="69" customFormat="false" ht="15" hidden="false" customHeight="false" outlineLevel="0" collapsed="false">
      <c r="A69" s="5" t="s">
        <v>874</v>
      </c>
      <c r="B69" s="5" t="s">
        <v>658</v>
      </c>
      <c r="C69" s="5" t="s">
        <v>855</v>
      </c>
      <c r="D69" s="9" t="n">
        <v>20.8</v>
      </c>
      <c r="E69" s="5" t="s">
        <v>875</v>
      </c>
      <c r="F69" s="9" t="n">
        <v>81.1</v>
      </c>
      <c r="G69" s="9" t="n">
        <v>78.9</v>
      </c>
      <c r="H69" s="10" t="n">
        <v>336294</v>
      </c>
      <c r="I69" s="9" t="n">
        <v>17.3</v>
      </c>
      <c r="J69" s="5" t="n">
        <v>4617</v>
      </c>
      <c r="K69" s="9"/>
      <c r="L69" s="5" t="s">
        <v>893</v>
      </c>
      <c r="M69" s="5" t="s">
        <v>876</v>
      </c>
      <c r="N69" s="5"/>
      <c r="O69" s="13" t="n">
        <f aca="false">IF(AND(TRUE(),ISNUMBER(D69),ISNUMBER(D68)),(D69-D68)*100,"")</f>
        <v>-19.9999999999999</v>
      </c>
      <c r="P69" s="13" t="n">
        <f aca="false">IF(AND(ISNUMBER(F69),ISNUMBER(F68)),F69-F68,"")</f>
        <v>1.09999999999999</v>
      </c>
      <c r="Q69" s="8" t="n">
        <f aca="false">IF(COUNTIFS(Wage_Hikes!$A:$A,A69,Wage_Hikes!$D:$D,B69)&gt;0,1,0)</f>
        <v>0</v>
      </c>
      <c r="R69" s="12" t="n">
        <f aca="false">IFERROR(AVERAGEIFS(FX_USDINR!$B:$B,FX_USDINR!$C:$C,B69),"")</f>
        <v>82.1638</v>
      </c>
      <c r="S69" s="5" t="n">
        <v>0</v>
      </c>
    </row>
    <row r="70" customFormat="false" ht="15" hidden="false" customHeight="false" outlineLevel="0" collapsed="false">
      <c r="A70" s="5" t="s">
        <v>874</v>
      </c>
      <c r="B70" s="5" t="s">
        <v>165</v>
      </c>
      <c r="C70" s="5" t="s">
        <v>856</v>
      </c>
      <c r="D70" s="9" t="n">
        <v>21.2</v>
      </c>
      <c r="E70" s="5" t="s">
        <v>875</v>
      </c>
      <c r="F70" s="9" t="n">
        <v>81.8</v>
      </c>
      <c r="G70" s="9" t="n">
        <v>80.4</v>
      </c>
      <c r="H70" s="10" t="n">
        <v>328764</v>
      </c>
      <c r="I70" s="9" t="n">
        <v>14.6</v>
      </c>
      <c r="J70" s="5" t="n">
        <v>4718</v>
      </c>
      <c r="K70" s="9"/>
      <c r="L70" s="5" t="s">
        <v>894</v>
      </c>
      <c r="M70" s="5" t="s">
        <v>876</v>
      </c>
      <c r="N70" s="5"/>
      <c r="O70" s="13" t="n">
        <f aca="false">IF(AND(TRUE(),ISNUMBER(D70),ISNUMBER(D69)),(D70-D69)*100,"")</f>
        <v>39.9999999999999</v>
      </c>
      <c r="P70" s="13" t="n">
        <f aca="false">IF(AND(ISNUMBER(F70),ISNUMBER(F69)),F70-F69,"")</f>
        <v>0.700000000000003</v>
      </c>
      <c r="Q70" s="8" t="n">
        <f aca="false">IF(COUNTIFS(Wage_Hikes!$A:$A,A70,Wage_Hikes!$D:$D,B70)&gt;0,1,0)</f>
        <v>0</v>
      </c>
      <c r="R70" s="12" t="n">
        <f aca="false">IFERROR(AVERAGEIFS(FX_USDINR!$B:$B,FX_USDINR!$C:$C,B70),"")</f>
        <v>82.6795666666667</v>
      </c>
      <c r="S70" s="5" t="n">
        <v>0</v>
      </c>
    </row>
    <row r="71" customFormat="false" ht="15" hidden="false" customHeight="false" outlineLevel="0" collapsed="false">
      <c r="A71" s="5" t="s">
        <v>874</v>
      </c>
      <c r="B71" s="5" t="s">
        <v>858</v>
      </c>
      <c r="C71" s="5" t="s">
        <v>859</v>
      </c>
      <c r="D71" s="9" t="n">
        <v>20.5</v>
      </c>
      <c r="E71" s="5" t="s">
        <v>875</v>
      </c>
      <c r="F71" s="9" t="n">
        <v>82.7</v>
      </c>
      <c r="G71" s="9" t="n">
        <v>81.7</v>
      </c>
      <c r="H71" s="10" t="n">
        <v>322663</v>
      </c>
      <c r="I71" s="9" t="n">
        <v>12.9</v>
      </c>
      <c r="J71" s="5" t="n">
        <v>4663</v>
      </c>
      <c r="K71" s="9"/>
      <c r="L71" s="5" t="s">
        <v>309</v>
      </c>
      <c r="M71" s="5" t="s">
        <v>876</v>
      </c>
      <c r="N71" s="5"/>
      <c r="O71" s="13" t="n">
        <f aca="false">IF(AND(TRUE(),ISNUMBER(D71),ISNUMBER(D70)),(D71-D70)*100,"")</f>
        <v>-69.9999999999999</v>
      </c>
      <c r="P71" s="13" t="n">
        <f aca="false">IF(AND(ISNUMBER(F71),ISNUMBER(F70)),F71-F70,"")</f>
        <v>0.900000000000006</v>
      </c>
      <c r="Q71" s="8" t="n">
        <f aca="false">IF(COUNTIFS(Wage_Hikes!$A:$A,A71,Wage_Hikes!$D:$D,B71)&gt;0,1,0)</f>
        <v>1</v>
      </c>
      <c r="R71" s="12" t="n">
        <f aca="false">IFERROR(AVERAGEIFS(FX_USDINR!$B:$B,FX_USDINR!$C:$C,B71),"")</f>
        <v>83.2454</v>
      </c>
      <c r="S71" s="5" t="n">
        <v>0</v>
      </c>
    </row>
    <row r="72" customFormat="false" ht="15" hidden="false" customHeight="false" outlineLevel="0" collapsed="false">
      <c r="A72" s="5" t="s">
        <v>874</v>
      </c>
      <c r="B72" s="5" t="s">
        <v>665</v>
      </c>
      <c r="C72" s="5" t="s">
        <v>860</v>
      </c>
      <c r="D72" s="9" t="n">
        <v>20.1</v>
      </c>
      <c r="E72" s="5" t="s">
        <v>875</v>
      </c>
      <c r="F72" s="9" t="n">
        <v>83.5</v>
      </c>
      <c r="G72" s="9" t="n">
        <v>82</v>
      </c>
      <c r="H72" s="10" t="n">
        <v>317240</v>
      </c>
      <c r="I72" s="9" t="n">
        <v>12.6</v>
      </c>
      <c r="J72" s="5" t="n">
        <v>4564</v>
      </c>
      <c r="K72" s="9"/>
      <c r="L72" s="5" t="s">
        <v>895</v>
      </c>
      <c r="M72" s="5" t="s">
        <v>876</v>
      </c>
      <c r="N72" s="5" t="s">
        <v>896</v>
      </c>
      <c r="O72" s="13" t="n">
        <f aca="false">IF(AND(TRUE(),ISNUMBER(D72),ISNUMBER(D71)),(D72-D71)*100,"")</f>
        <v>-39.9999999999999</v>
      </c>
      <c r="P72" s="13" t="n">
        <f aca="false">IF(AND(ISNUMBER(F72),ISNUMBER(F71)),F72-F71,"")</f>
        <v>0.799999999999997</v>
      </c>
      <c r="Q72" s="8" t="n">
        <f aca="false">IF(COUNTIFS(Wage_Hikes!$A:$A,A72,Wage_Hikes!$D:$D,B72)&gt;0,1,0)</f>
        <v>0</v>
      </c>
      <c r="R72" s="12" t="n">
        <f aca="false">IFERROR(AVERAGEIFS(FX_USDINR!$B:$B,FX_USDINR!$C:$C,B72),"")</f>
        <v>83.0272666666667</v>
      </c>
      <c r="S72" s="5" t="n">
        <v>0</v>
      </c>
    </row>
    <row r="73" customFormat="false" ht="15" hidden="false" customHeight="false" outlineLevel="0" collapsed="false">
      <c r="A73" s="5" t="s">
        <v>874</v>
      </c>
      <c r="B73" s="5" t="s">
        <v>668</v>
      </c>
      <c r="C73" s="5" t="s">
        <v>861</v>
      </c>
      <c r="D73" s="9" t="n">
        <v>21.1</v>
      </c>
      <c r="E73" s="5" t="s">
        <v>875</v>
      </c>
      <c r="F73" s="9" t="n">
        <v>85.3</v>
      </c>
      <c r="G73" s="9" t="n">
        <v>83.9</v>
      </c>
      <c r="H73" s="10" t="n">
        <v>315332</v>
      </c>
      <c r="I73" s="9" t="n">
        <v>12.7</v>
      </c>
      <c r="J73" s="5" t="n">
        <v>4714</v>
      </c>
      <c r="K73" s="9"/>
      <c r="L73" s="5" t="s">
        <v>301</v>
      </c>
      <c r="M73" s="5" t="s">
        <v>876</v>
      </c>
      <c r="N73" s="5"/>
      <c r="O73" s="13" t="n">
        <f aca="false">IF(AND(TRUE(),ISNUMBER(D73),ISNUMBER(D72)),(D73-D72)*100,"")</f>
        <v>100</v>
      </c>
      <c r="P73" s="13" t="n">
        <f aca="false">IF(AND(ISNUMBER(F73),ISNUMBER(F72)),F73-F72,"")</f>
        <v>1.8</v>
      </c>
      <c r="Q73" s="8" t="n">
        <f aca="false">IF(COUNTIFS(Wage_Hikes!$A:$A,A73,Wage_Hikes!$D:$D,B73)&gt;0,1,0)</f>
        <v>0</v>
      </c>
      <c r="R73" s="12" t="n">
        <f aca="false">IFERROR(AVERAGEIFS(FX_USDINR!$B:$B,FX_USDINR!$C:$C,B73),"")</f>
        <v>83.4147</v>
      </c>
      <c r="S73" s="5" t="n">
        <v>0</v>
      </c>
    </row>
    <row r="74" customFormat="false" ht="15" hidden="false" customHeight="false" outlineLevel="0" collapsed="false">
      <c r="A74" s="5" t="s">
        <v>874</v>
      </c>
      <c r="B74" s="5" t="s">
        <v>148</v>
      </c>
      <c r="C74" s="5" t="s">
        <v>862</v>
      </c>
      <c r="D74" s="9" t="n">
        <v>21.1</v>
      </c>
      <c r="E74" s="5" t="s">
        <v>875</v>
      </c>
      <c r="F74" s="9" t="n">
        <v>85.9</v>
      </c>
      <c r="G74" s="9" t="n">
        <v>84.3</v>
      </c>
      <c r="H74" s="10" t="n">
        <v>317788</v>
      </c>
      <c r="I74" s="9" t="n">
        <v>12.9</v>
      </c>
      <c r="J74" s="5" t="n">
        <v>4894</v>
      </c>
      <c r="K74" s="9"/>
      <c r="L74" s="5" t="s">
        <v>897</v>
      </c>
      <c r="M74" s="5" t="s">
        <v>876</v>
      </c>
      <c r="N74" s="5"/>
      <c r="O74" s="13" t="n">
        <f aca="false">IF(AND(TRUE(),ISNUMBER(D74),ISNUMBER(D73)),(D74-D73)*100,"")</f>
        <v>0</v>
      </c>
      <c r="P74" s="13" t="n">
        <f aca="false">IF(AND(ISNUMBER(F74),ISNUMBER(F73)),F74-F73,"")</f>
        <v>0.600000000000009</v>
      </c>
      <c r="Q74" s="8" t="n">
        <f aca="false">IF(COUNTIFS(Wage_Hikes!$A:$A,A74,Wage_Hikes!$D:$D,B74)&gt;0,1,0)</f>
        <v>0</v>
      </c>
      <c r="R74" s="12" t="n">
        <f aca="false">IFERROR(AVERAGEIFS(FX_USDINR!$B:$B,FX_USDINR!$C:$C,B74),"")</f>
        <v>83.7553333333333</v>
      </c>
      <c r="S74" s="5" t="n">
        <v>0</v>
      </c>
    </row>
    <row r="75" customFormat="false" ht="15" hidden="false" customHeight="false" outlineLevel="0" collapsed="false">
      <c r="A75" s="5" t="s">
        <v>874</v>
      </c>
      <c r="B75" s="5" t="s">
        <v>143</v>
      </c>
      <c r="C75" s="5" t="s">
        <v>863</v>
      </c>
      <c r="D75" s="9" t="n">
        <v>21.3</v>
      </c>
      <c r="E75" s="5" t="s">
        <v>875</v>
      </c>
      <c r="F75" s="9" t="n">
        <v>86</v>
      </c>
      <c r="G75" s="9" t="n">
        <v>83.4</v>
      </c>
      <c r="H75" s="10" t="n">
        <v>323379</v>
      </c>
      <c r="I75" s="9" t="n">
        <v>13.7</v>
      </c>
      <c r="J75" s="5" t="n">
        <v>4939</v>
      </c>
      <c r="K75" s="9"/>
      <c r="L75" s="5" t="s">
        <v>898</v>
      </c>
      <c r="M75" s="5" t="s">
        <v>876</v>
      </c>
      <c r="N75" s="5"/>
      <c r="O75" s="13" t="n">
        <f aca="false">IF(AND(TRUE(),ISNUMBER(D75),ISNUMBER(D74)),(D75-D74)*100,"")</f>
        <v>19.9999999999999</v>
      </c>
      <c r="P75" s="13" t="n">
        <f aca="false">IF(AND(ISNUMBER(F75),ISNUMBER(F74)),F75-F74,"")</f>
        <v>0.0999999999999943</v>
      </c>
      <c r="Q75" s="8" t="n">
        <f aca="false">IF(COUNTIFS(Wage_Hikes!$A:$A,A75,Wage_Hikes!$D:$D,B75)&gt;0,1,0)</f>
        <v>0</v>
      </c>
      <c r="R75" s="12" t="n">
        <f aca="false">IFERROR(AVERAGEIFS(FX_USDINR!$B:$B,FX_USDINR!$C:$C,B75),"")</f>
        <v>84.4354</v>
      </c>
      <c r="S75" s="5" t="n">
        <v>0</v>
      </c>
    </row>
    <row r="76" customFormat="false" ht="15" hidden="false" customHeight="false" outlineLevel="0" collapsed="false">
      <c r="A76" s="5" t="s">
        <v>874</v>
      </c>
      <c r="B76" s="5" t="s">
        <v>128</v>
      </c>
      <c r="C76" s="5" t="s">
        <v>864</v>
      </c>
      <c r="D76" s="9" t="n">
        <v>21</v>
      </c>
      <c r="E76" s="5" t="s">
        <v>875</v>
      </c>
      <c r="F76" s="9" t="n">
        <v>84.9</v>
      </c>
      <c r="G76" s="9" t="n">
        <v>81.9</v>
      </c>
      <c r="H76" s="10" t="n">
        <v>323578</v>
      </c>
      <c r="I76" s="9" t="n">
        <v>14.1</v>
      </c>
      <c r="J76" s="5"/>
      <c r="K76" s="9"/>
      <c r="L76" s="5" t="s">
        <v>899</v>
      </c>
      <c r="M76" s="5" t="s">
        <v>876</v>
      </c>
      <c r="N76" s="5"/>
      <c r="O76" s="13" t="n">
        <f aca="false">IF(AND(TRUE(),ISNUMBER(D76),ISNUMBER(D75)),(D76-D75)*100,"")</f>
        <v>-30.0000000000001</v>
      </c>
      <c r="P76" s="13" t="n">
        <f aca="false">IF(AND(ISNUMBER(F76),ISNUMBER(F75)),F76-F75,"")</f>
        <v>-1.09999999999999</v>
      </c>
      <c r="Q76" s="8" t="n">
        <f aca="false">IF(COUNTIFS(Wage_Hikes!$A:$A,A76,Wage_Hikes!$D:$D,B76)&gt;0,1,0)</f>
        <v>1</v>
      </c>
      <c r="R76" s="12" t="n">
        <f aca="false">IFERROR(AVERAGEIFS(FX_USDINR!$B:$B,FX_USDINR!$C:$C,B76),"")</f>
        <v>86.6167666666667</v>
      </c>
      <c r="S76" s="5" t="n">
        <v>0</v>
      </c>
    </row>
    <row r="77" customFormat="false" ht="15" hidden="false" customHeight="false" outlineLevel="0" collapsed="false">
      <c r="A77" s="5" t="s">
        <v>874</v>
      </c>
      <c r="B77" s="5" t="s">
        <v>154</v>
      </c>
      <c r="C77" s="5" t="s">
        <v>865</v>
      </c>
      <c r="D77" s="9" t="n">
        <v>20.8</v>
      </c>
      <c r="E77" s="5" t="s">
        <v>875</v>
      </c>
      <c r="F77" s="9" t="n">
        <v>85.2</v>
      </c>
      <c r="G77" s="9" t="n">
        <v>82.7</v>
      </c>
      <c r="H77" s="10" t="n">
        <v>323788</v>
      </c>
      <c r="I77" s="9" t="n">
        <v>14.4</v>
      </c>
      <c r="J77" s="5" t="n">
        <v>4941</v>
      </c>
      <c r="K77" s="9"/>
      <c r="L77" s="5" t="s">
        <v>900</v>
      </c>
      <c r="M77" s="5" t="s">
        <v>876</v>
      </c>
      <c r="N77" s="5"/>
      <c r="O77" s="13" t="n">
        <f aca="false">IF(AND(TRUE(),ISNUMBER(D77),ISNUMBER(D76)),(D77-D76)*100,"")</f>
        <v>-19.9999999999999</v>
      </c>
      <c r="P77" s="13" t="n">
        <f aca="false">IF(AND(ISNUMBER(F77),ISNUMBER(F76)),F77-F76,"")</f>
        <v>0.299999999999997</v>
      </c>
      <c r="Q77" s="8" t="n">
        <f aca="false">IF(COUNTIFS(Wage_Hikes!$A:$A,A77,Wage_Hikes!$D:$D,B77)&gt;0,1,0)</f>
        <v>1</v>
      </c>
      <c r="R77" s="12" t="n">
        <f aca="false">IFERROR(AVERAGEIFS(FX_USDINR!$B:$B,FX_USDINR!$C:$C,B77),"")</f>
        <v>85.5665</v>
      </c>
      <c r="S77" s="5" t="n">
        <v>0</v>
      </c>
    </row>
    <row r="78" customFormat="false" ht="15" hidden="false" customHeight="false" outlineLevel="0" collapsed="false">
      <c r="A78" s="5" t="s">
        <v>874</v>
      </c>
      <c r="B78" s="5" t="s">
        <v>506</v>
      </c>
      <c r="C78" s="5" t="s">
        <v>866</v>
      </c>
      <c r="D78" s="9" t="n">
        <v>21</v>
      </c>
      <c r="E78" s="5" t="s">
        <v>875</v>
      </c>
      <c r="F78" s="9" t="n">
        <v>85.1</v>
      </c>
      <c r="G78" s="9" t="n">
        <v>82.2</v>
      </c>
      <c r="H78" s="10" t="n">
        <v>331991</v>
      </c>
      <c r="I78" s="9" t="n">
        <v>14.3</v>
      </c>
      <c r="J78" s="5" t="n">
        <v>5076</v>
      </c>
      <c r="K78" s="9"/>
      <c r="L78" s="5" t="s">
        <v>901</v>
      </c>
      <c r="M78" s="5" t="s">
        <v>876</v>
      </c>
      <c r="N78" s="5"/>
      <c r="O78" s="13" t="n">
        <f aca="false">IF(AND(TRUE(),ISNUMBER(D78),ISNUMBER(D77)),(D78-D77)*100,"")</f>
        <v>19.9999999999999</v>
      </c>
      <c r="P78" s="13" t="n">
        <f aca="false">IF(AND(ISNUMBER(F78),ISNUMBER(F77)),F78-F77,"")</f>
        <v>-0.100000000000009</v>
      </c>
      <c r="Q78" s="8" t="n">
        <f aca="false">IF(COUNTIFS(Wage_Hikes!$A:$A,A78,Wage_Hikes!$D:$D,B78)&gt;0,1,0)</f>
        <v>0</v>
      </c>
      <c r="R78" s="12" t="n">
        <f aca="false">IFERROR(AVERAGEIFS(FX_USDINR!$B:$B,FX_USDINR!$C:$C,B78),"")</f>
        <v>87.3541</v>
      </c>
      <c r="S78" s="5" t="n">
        <v>0</v>
      </c>
    </row>
    <row r="79" customFormat="false" ht="15" hidden="false" customHeight="false" outlineLevel="0" collapsed="false">
      <c r="A79" s="5" t="s">
        <v>874</v>
      </c>
      <c r="B79" s="5" t="s">
        <v>632</v>
      </c>
      <c r="C79" s="5" t="s">
        <v>868</v>
      </c>
      <c r="D79" s="9" t="n">
        <v>18.4</v>
      </c>
      <c r="E79" s="5" t="s">
        <v>875</v>
      </c>
      <c r="F79" s="9" t="n">
        <v>84.1</v>
      </c>
      <c r="G79" s="9" t="n">
        <v>80</v>
      </c>
      <c r="H79" s="10" t="n">
        <v>337034</v>
      </c>
      <c r="I79" s="9" t="n">
        <v>12.3</v>
      </c>
      <c r="J79" s="5" t="n">
        <v>5099</v>
      </c>
      <c r="K79" s="9"/>
      <c r="L79" s="5" t="s">
        <v>319</v>
      </c>
      <c r="M79" s="5" t="s">
        <v>876</v>
      </c>
      <c r="N79" s="6" t="s">
        <v>902</v>
      </c>
      <c r="O79" s="13" t="n">
        <f aca="false">IF(AND(TRUE(),ISNUMBER(D79),ISNUMBER(D78)),(D79-D78)*100,"")</f>
        <v>-260</v>
      </c>
      <c r="P79" s="13" t="n">
        <f aca="false">IF(AND(ISNUMBER(F79),ISNUMBER(F78)),F79-F78,"")</f>
        <v>-1</v>
      </c>
      <c r="Q79" s="8" t="n">
        <f aca="false">IF(COUNTIFS(Wage_Hikes!$A:$A,A79,Wage_Hikes!$D:$D,B79)&gt;0,1,0)</f>
        <v>0</v>
      </c>
      <c r="R79" s="12" t="n">
        <f aca="false">IFERROR(AVERAGEIFS(FX_USDINR!$B:$B,FX_USDINR!$C:$C,B79),"")</f>
        <v>89.0828333333333</v>
      </c>
      <c r="S79" s="5" t="n">
        <v>1</v>
      </c>
    </row>
    <row r="80" customFormat="false" ht="15" hidden="false" customHeight="false" outlineLevel="0" collapsed="false">
      <c r="A80" s="5" t="s">
        <v>874</v>
      </c>
      <c r="B80" s="5" t="s">
        <v>372</v>
      </c>
      <c r="C80" s="5" t="s">
        <v>869</v>
      </c>
      <c r="D80" s="9" t="n">
        <v>20.9</v>
      </c>
      <c r="E80" s="5" t="s">
        <v>875</v>
      </c>
      <c r="F80" s="9" t="n">
        <v>83</v>
      </c>
      <c r="G80" s="9" t="n">
        <v>79.7</v>
      </c>
      <c r="H80" s="10" t="n">
        <v>328594</v>
      </c>
      <c r="I80" s="9" t="n">
        <v>12.6</v>
      </c>
      <c r="J80" s="5" t="n">
        <v>5040</v>
      </c>
      <c r="K80" s="9"/>
      <c r="L80" s="5" t="s">
        <v>104</v>
      </c>
      <c r="M80" s="5" t="s">
        <v>876</v>
      </c>
      <c r="N80" s="5" t="s">
        <v>903</v>
      </c>
      <c r="O80" s="13" t="n">
        <f aca="false">IF(AND(TRUE(),ISNUMBER(D80),ISNUMBER(D79)),(D80-D79)*100,"")</f>
        <v>250</v>
      </c>
      <c r="P80" s="13" t="n">
        <f aca="false">IF(AND(ISNUMBER(F80),ISNUMBER(F79)),F80-F79,"")</f>
        <v>-1.09999999999999</v>
      </c>
      <c r="Q80" s="8" t="n">
        <f aca="false">IF(COUNTIFS(Wage_Hikes!$A:$A,A80,Wage_Hikes!$D:$D,B80)&gt;0,1,0)</f>
        <v>0</v>
      </c>
      <c r="R80" s="12" t="n">
        <f aca="false">IFERROR(AVERAGEIFS(FX_USDINR!$B:$B,FX_USDINR!$C:$C,B80),"")</f>
        <v>91.4888333333333</v>
      </c>
      <c r="S80" s="5" t="n">
        <v>0</v>
      </c>
    </row>
    <row r="81" customFormat="false" ht="15" hidden="false" customHeight="false" outlineLevel="0" collapsed="false">
      <c r="A81" s="5" t="s">
        <v>874</v>
      </c>
      <c r="B81" s="5" t="s">
        <v>120</v>
      </c>
      <c r="C81" s="5" t="s">
        <v>870</v>
      </c>
      <c r="D81" s="9" t="n">
        <v>21.1</v>
      </c>
      <c r="E81" s="5" t="s">
        <v>875</v>
      </c>
      <c r="F81" s="9" t="n">
        <v>84.9</v>
      </c>
      <c r="G81" s="9" t="n">
        <v>82.1</v>
      </c>
      <c r="H81" s="10" t="n">
        <v>328062</v>
      </c>
      <c r="I81" s="9" t="n">
        <v>13</v>
      </c>
      <c r="J81" s="5" t="n">
        <v>5082</v>
      </c>
      <c r="K81" s="9"/>
      <c r="L81" s="5" t="s">
        <v>904</v>
      </c>
      <c r="M81" s="5" t="s">
        <v>876</v>
      </c>
      <c r="N81" s="5"/>
      <c r="O81" s="13" t="n">
        <f aca="false">IF(AND(TRUE(),ISNUMBER(D81),ISNUMBER(D80)),(D81-D80)*100,"")</f>
        <v>20.0000000000003</v>
      </c>
      <c r="P81" s="13" t="n">
        <f aca="false">IF(AND(ISNUMBER(F81),ISNUMBER(F80)),F81-F80,"")</f>
        <v>1.90000000000001</v>
      </c>
      <c r="Q81" s="8" t="n">
        <f aca="false">IF(COUNTIFS(Wage_Hikes!$A:$A,A81,Wage_Hikes!$D:$D,B81)&gt;0,1,0)</f>
        <v>0</v>
      </c>
      <c r="R81" s="12" t="n">
        <f aca="false">IFERROR(AVERAGEIFS(FX_USDINR!$B:$B,FX_USDINR!$C:$C,B81),"")</f>
        <v>94.658</v>
      </c>
      <c r="S81" s="5" t="n">
        <v>0</v>
      </c>
    </row>
    <row r="82" customFormat="false" ht="15" hidden="false" customHeight="false" outlineLevel="0" collapsed="false">
      <c r="A82" s="5" t="s">
        <v>905</v>
      </c>
      <c r="B82" s="5" t="s">
        <v>641</v>
      </c>
      <c r="C82" s="5" t="s">
        <v>848</v>
      </c>
      <c r="D82" s="9" t="n">
        <v>25</v>
      </c>
      <c r="E82" s="5" t="s">
        <v>906</v>
      </c>
      <c r="F82" s="9"/>
      <c r="G82" s="9"/>
      <c r="H82" s="10" t="n">
        <v>592195</v>
      </c>
      <c r="I82" s="9" t="n">
        <v>17.4</v>
      </c>
      <c r="J82" s="5" t="n">
        <v>6696</v>
      </c>
      <c r="K82" s="9"/>
      <c r="L82" s="5" t="s">
        <v>907</v>
      </c>
      <c r="M82" s="5" t="s">
        <v>876</v>
      </c>
      <c r="N82" s="5" t="s">
        <v>908</v>
      </c>
      <c r="O82" s="11"/>
      <c r="P82" s="11"/>
      <c r="Q82" s="8" t="n">
        <f aca="false">IF(COUNTIFS(Wage_Hikes!$A:$A,A82,Wage_Hikes!$D:$D,B82)&gt;0,1,0)</f>
        <v>0</v>
      </c>
      <c r="R82" s="12" t="n">
        <f aca="false">IFERROR(AVERAGEIFS(FX_USDINR!$B:$B,FX_USDINR!$C:$C,B82),"")</f>
        <v>75.1888666666667</v>
      </c>
      <c r="S82" s="5" t="n">
        <v>0</v>
      </c>
    </row>
    <row r="83" customFormat="false" ht="15" hidden="false" customHeight="false" outlineLevel="0" collapsed="false">
      <c r="A83" s="5" t="s">
        <v>905</v>
      </c>
      <c r="B83" s="5" t="s">
        <v>133</v>
      </c>
      <c r="C83" s="5" t="s">
        <v>849</v>
      </c>
      <c r="D83" s="9" t="n">
        <v>23.1</v>
      </c>
      <c r="E83" s="5" t="s">
        <v>906</v>
      </c>
      <c r="F83" s="9"/>
      <c r="G83" s="9"/>
      <c r="H83" s="10" t="n">
        <v>606331</v>
      </c>
      <c r="I83" s="9" t="n">
        <v>19.7</v>
      </c>
      <c r="J83" s="5" t="n">
        <v>6780</v>
      </c>
      <c r="K83" s="9"/>
      <c r="L83" s="5" t="s">
        <v>909</v>
      </c>
      <c r="M83" s="5" t="s">
        <v>876</v>
      </c>
      <c r="N83" s="5" t="s">
        <v>908</v>
      </c>
      <c r="O83" s="13" t="n">
        <f aca="false">IF(AND(TRUE(),ISNUMBER(D83),ISNUMBER(D82)),(D83-D82)*100,"")</f>
        <v>-190</v>
      </c>
      <c r="P83" s="13" t="str">
        <f aca="false">IF(AND(ISNUMBER(F83),ISNUMBER(F82)),F83-F82,"")</f>
        <v/>
      </c>
      <c r="Q83" s="8" t="n">
        <f aca="false">IF(COUNTIFS(Wage_Hikes!$A:$A,A83,Wage_Hikes!$D:$D,B83)&gt;0,1,0)</f>
        <v>0</v>
      </c>
      <c r="R83" s="12" t="n">
        <f aca="false">IFERROR(AVERAGEIFS(FX_USDINR!$B:$B,FX_USDINR!$C:$C,B83),"")</f>
        <v>77.1850666666667</v>
      </c>
      <c r="S83" s="5" t="n">
        <v>0</v>
      </c>
    </row>
    <row r="84" customFormat="false" ht="23.85" hidden="false" customHeight="false" outlineLevel="0" collapsed="false">
      <c r="A84" s="5" t="s">
        <v>905</v>
      </c>
      <c r="B84" s="5" t="s">
        <v>650</v>
      </c>
      <c r="C84" s="5" t="s">
        <v>850</v>
      </c>
      <c r="D84" s="9" t="n">
        <v>24</v>
      </c>
      <c r="E84" s="5" t="s">
        <v>906</v>
      </c>
      <c r="F84" s="9"/>
      <c r="G84" s="9"/>
      <c r="H84" s="10" t="n">
        <v>616171</v>
      </c>
      <c r="I84" s="9" t="n">
        <v>21.5</v>
      </c>
      <c r="J84" s="5" t="n">
        <v>6877</v>
      </c>
      <c r="K84" s="9"/>
      <c r="L84" s="5" t="s">
        <v>910</v>
      </c>
      <c r="M84" s="5" t="s">
        <v>876</v>
      </c>
      <c r="N84" s="6" t="s">
        <v>911</v>
      </c>
      <c r="O84" s="13" t="n">
        <f aca="false">IF(AND(TRUE(),ISNUMBER(D84),ISNUMBER(D83)),(D84-D83)*100,"")</f>
        <v>89.9999999999999</v>
      </c>
      <c r="P84" s="13" t="str">
        <f aca="false">IF(AND(ISNUMBER(F84),ISNUMBER(F83)),F84-F83,"")</f>
        <v/>
      </c>
      <c r="Q84" s="8" t="n">
        <f aca="false">IF(COUNTIFS(Wage_Hikes!$A:$A,A84,Wage_Hikes!$D:$D,B84)&gt;0,1,0)</f>
        <v>0</v>
      </c>
      <c r="R84" s="12" t="n">
        <f aca="false">IFERROR(AVERAGEIFS(FX_USDINR!$B:$B,FX_USDINR!$C:$C,B84),"")</f>
        <v>79.7839333333333</v>
      </c>
      <c r="S84" s="5" t="n">
        <v>0</v>
      </c>
    </row>
    <row r="85" customFormat="false" ht="15" hidden="false" customHeight="false" outlineLevel="0" collapsed="false">
      <c r="A85" s="5" t="s">
        <v>905</v>
      </c>
      <c r="B85" s="5" t="s">
        <v>161</v>
      </c>
      <c r="C85" s="5" t="s">
        <v>851</v>
      </c>
      <c r="D85" s="9" t="n">
        <v>24.5</v>
      </c>
      <c r="E85" s="5" t="s">
        <v>906</v>
      </c>
      <c r="F85" s="9"/>
      <c r="G85" s="9"/>
      <c r="H85" s="10" t="n">
        <v>613974</v>
      </c>
      <c r="I85" s="9" t="n">
        <v>21.3</v>
      </c>
      <c r="J85" s="5" t="n">
        <v>7075</v>
      </c>
      <c r="K85" s="9"/>
      <c r="L85" s="5" t="s">
        <v>912</v>
      </c>
      <c r="M85" s="5" t="s">
        <v>876</v>
      </c>
      <c r="N85" s="5" t="s">
        <v>908</v>
      </c>
      <c r="O85" s="13" t="n">
        <f aca="false">IF(AND(TRUE(),ISNUMBER(D85),ISNUMBER(D84)),(D85-D84)*100,"")</f>
        <v>50</v>
      </c>
      <c r="P85" s="13" t="str">
        <f aca="false">IF(AND(ISNUMBER(F85),ISNUMBER(F84)),F85-F84,"")</f>
        <v/>
      </c>
      <c r="Q85" s="8" t="n">
        <f aca="false">IF(COUNTIFS(Wage_Hikes!$A:$A,A85,Wage_Hikes!$D:$D,B85)&gt;0,1,0)</f>
        <v>0</v>
      </c>
      <c r="R85" s="12" t="n">
        <f aca="false">IFERROR(AVERAGEIFS(FX_USDINR!$B:$B,FX_USDINR!$C:$C,B85),"")</f>
        <v>82.1486</v>
      </c>
      <c r="S85" s="5" t="n">
        <v>0</v>
      </c>
    </row>
    <row r="86" customFormat="false" ht="15" hidden="false" customHeight="false" outlineLevel="0" collapsed="false">
      <c r="A86" s="5" t="s">
        <v>905</v>
      </c>
      <c r="B86" s="5" t="s">
        <v>853</v>
      </c>
      <c r="C86" s="5" t="s">
        <v>854</v>
      </c>
      <c r="D86" s="9" t="n">
        <v>24.5</v>
      </c>
      <c r="E86" s="5" t="s">
        <v>906</v>
      </c>
      <c r="F86" s="9"/>
      <c r="G86" s="9"/>
      <c r="H86" s="10" t="n">
        <v>614795</v>
      </c>
      <c r="I86" s="9" t="n">
        <v>20.1</v>
      </c>
      <c r="J86" s="5" t="n">
        <v>7195</v>
      </c>
      <c r="K86" s="9"/>
      <c r="L86" s="5" t="s">
        <v>913</v>
      </c>
      <c r="M86" s="5" t="s">
        <v>876</v>
      </c>
      <c r="N86" s="5" t="s">
        <v>908</v>
      </c>
      <c r="O86" s="13" t="n">
        <f aca="false">IF(AND(TRUE(),ISNUMBER(D86),ISNUMBER(D85)),(D86-D85)*100,"")</f>
        <v>0</v>
      </c>
      <c r="P86" s="13" t="str">
        <f aca="false">IF(AND(ISNUMBER(F86),ISNUMBER(F85)),F86-F85,"")</f>
        <v/>
      </c>
      <c r="Q86" s="8" t="n">
        <f aca="false">IF(COUNTIFS(Wage_Hikes!$A:$A,A86,Wage_Hikes!$D:$D,B86)&gt;0,1,0)</f>
        <v>0</v>
      </c>
      <c r="R86" s="12" t="n">
        <f aca="false">IFERROR(AVERAGEIFS(FX_USDINR!$B:$B,FX_USDINR!$C:$C,B86),"")</f>
        <v>82.2023333333333</v>
      </c>
      <c r="S86" s="5" t="n">
        <v>0</v>
      </c>
    </row>
    <row r="87" customFormat="false" ht="15" hidden="false" customHeight="false" outlineLevel="0" collapsed="false">
      <c r="A87" s="5" t="s">
        <v>905</v>
      </c>
      <c r="B87" s="5" t="s">
        <v>658</v>
      </c>
      <c r="C87" s="5" t="s">
        <v>855</v>
      </c>
      <c r="D87" s="9" t="n">
        <v>23.2</v>
      </c>
      <c r="E87" s="5" t="s">
        <v>906</v>
      </c>
      <c r="F87" s="9"/>
      <c r="G87" s="9"/>
      <c r="H87" s="10" t="n">
        <v>615318</v>
      </c>
      <c r="I87" s="9" t="n">
        <v>17.8</v>
      </c>
      <c r="J87" s="5" t="n">
        <v>7226</v>
      </c>
      <c r="K87" s="9"/>
      <c r="L87" s="5" t="s">
        <v>914</v>
      </c>
      <c r="M87" s="5" t="s">
        <v>876</v>
      </c>
      <c r="N87" s="5" t="s">
        <v>908</v>
      </c>
      <c r="O87" s="13" t="n">
        <f aca="false">IF(AND(TRUE(),ISNUMBER(D87),ISNUMBER(D86)),(D87-D86)*100,"")</f>
        <v>-130</v>
      </c>
      <c r="P87" s="13" t="str">
        <f aca="false">IF(AND(ISNUMBER(F87),ISNUMBER(F86)),F87-F86,"")</f>
        <v/>
      </c>
      <c r="Q87" s="8" t="n">
        <f aca="false">IF(COUNTIFS(Wage_Hikes!$A:$A,A87,Wage_Hikes!$D:$D,B87)&gt;0,1,0)</f>
        <v>0</v>
      </c>
      <c r="R87" s="12" t="n">
        <f aca="false">IFERROR(AVERAGEIFS(FX_USDINR!$B:$B,FX_USDINR!$C:$C,B87),"")</f>
        <v>82.1638</v>
      </c>
      <c r="S87" s="5" t="n">
        <v>0</v>
      </c>
    </row>
    <row r="88" customFormat="false" ht="15" hidden="false" customHeight="false" outlineLevel="0" collapsed="false">
      <c r="A88" s="5" t="s">
        <v>905</v>
      </c>
      <c r="B88" s="5" t="s">
        <v>165</v>
      </c>
      <c r="C88" s="5" t="s">
        <v>856</v>
      </c>
      <c r="D88" s="9" t="n">
        <v>24.3</v>
      </c>
      <c r="E88" s="5" t="s">
        <v>906</v>
      </c>
      <c r="F88" s="9"/>
      <c r="G88" s="9"/>
      <c r="H88" s="10" t="n">
        <v>608985</v>
      </c>
      <c r="I88" s="9" t="n">
        <v>14.9</v>
      </c>
      <c r="J88" s="5" t="n">
        <v>7210</v>
      </c>
      <c r="K88" s="9"/>
      <c r="L88" s="5" t="s">
        <v>915</v>
      </c>
      <c r="M88" s="5" t="s">
        <v>876</v>
      </c>
      <c r="N88" s="5" t="s">
        <v>908</v>
      </c>
      <c r="O88" s="13" t="n">
        <f aca="false">IF(AND(TRUE(),ISNUMBER(D88),ISNUMBER(D87)),(D88-D87)*100,"")</f>
        <v>110</v>
      </c>
      <c r="P88" s="13" t="str">
        <f aca="false">IF(AND(ISNUMBER(F88),ISNUMBER(F87)),F88-F87,"")</f>
        <v/>
      </c>
      <c r="Q88" s="8" t="n">
        <f aca="false">IF(COUNTIFS(Wage_Hikes!$A:$A,A88,Wage_Hikes!$D:$D,B88)&gt;0,1,0)</f>
        <v>0</v>
      </c>
      <c r="R88" s="12" t="n">
        <f aca="false">IFERROR(AVERAGEIFS(FX_USDINR!$B:$B,FX_USDINR!$C:$C,B88),"")</f>
        <v>82.6795666666667</v>
      </c>
      <c r="S88" s="5" t="n">
        <v>0</v>
      </c>
    </row>
    <row r="89" customFormat="false" ht="15" hidden="false" customHeight="false" outlineLevel="0" collapsed="false">
      <c r="A89" s="5" t="s">
        <v>905</v>
      </c>
      <c r="B89" s="5" t="s">
        <v>858</v>
      </c>
      <c r="C89" s="5" t="s">
        <v>859</v>
      </c>
      <c r="D89" s="9" t="n">
        <v>25</v>
      </c>
      <c r="E89" s="5" t="s">
        <v>906</v>
      </c>
      <c r="F89" s="9"/>
      <c r="G89" s="9"/>
      <c r="H89" s="10" t="n">
        <v>603305</v>
      </c>
      <c r="I89" s="9" t="n">
        <v>13.3</v>
      </c>
      <c r="J89" s="5" t="n">
        <v>7281</v>
      </c>
      <c r="K89" s="9"/>
      <c r="L89" s="5" t="s">
        <v>328</v>
      </c>
      <c r="M89" s="5" t="s">
        <v>876</v>
      </c>
      <c r="N89" s="6" t="s">
        <v>916</v>
      </c>
      <c r="O89" s="13" t="n">
        <f aca="false">IF(AND(TRUE(),ISNUMBER(D89),ISNUMBER(D88)),(D89-D88)*100,"")</f>
        <v>69.9999999999999</v>
      </c>
      <c r="P89" s="13" t="str">
        <f aca="false">IF(AND(ISNUMBER(F89),ISNUMBER(F88)),F89-F88,"")</f>
        <v/>
      </c>
      <c r="Q89" s="8" t="n">
        <f aca="false">IF(COUNTIFS(Wage_Hikes!$A:$A,A89,Wage_Hikes!$D:$D,B89)&gt;0,1,0)</f>
        <v>0</v>
      </c>
      <c r="R89" s="12" t="n">
        <f aca="false">IFERROR(AVERAGEIFS(FX_USDINR!$B:$B,FX_USDINR!$C:$C,B89),"")</f>
        <v>83.2454</v>
      </c>
      <c r="S89" s="5" t="n">
        <v>1</v>
      </c>
    </row>
    <row r="90" customFormat="false" ht="15" hidden="false" customHeight="false" outlineLevel="0" collapsed="false">
      <c r="A90" s="5" t="s">
        <v>905</v>
      </c>
      <c r="B90" s="5" t="s">
        <v>665</v>
      </c>
      <c r="C90" s="5" t="s">
        <v>860</v>
      </c>
      <c r="D90" s="9" t="n">
        <v>26</v>
      </c>
      <c r="E90" s="5" t="s">
        <v>906</v>
      </c>
      <c r="F90" s="9"/>
      <c r="G90" s="9"/>
      <c r="H90" s="10" t="n">
        <v>601546</v>
      </c>
      <c r="I90" s="9" t="n">
        <v>12.5</v>
      </c>
      <c r="J90" s="5" t="n">
        <v>7363</v>
      </c>
      <c r="K90" s="9"/>
      <c r="L90" s="5" t="s">
        <v>917</v>
      </c>
      <c r="M90" s="5" t="s">
        <v>876</v>
      </c>
      <c r="N90" s="5" t="s">
        <v>908</v>
      </c>
      <c r="O90" s="13" t="n">
        <f aca="false">IF(AND(TRUE(),ISNUMBER(D90),ISNUMBER(D89)),(D90-D89)*100,"")</f>
        <v>100</v>
      </c>
      <c r="P90" s="13" t="str">
        <f aca="false">IF(AND(ISNUMBER(F90),ISNUMBER(F89)),F90-F89,"")</f>
        <v/>
      </c>
      <c r="Q90" s="8" t="n">
        <f aca="false">IF(COUNTIFS(Wage_Hikes!$A:$A,A90,Wage_Hikes!$D:$D,B90)&gt;0,1,0)</f>
        <v>0</v>
      </c>
      <c r="R90" s="12" t="n">
        <f aca="false">IFERROR(AVERAGEIFS(FX_USDINR!$B:$B,FX_USDINR!$C:$C,B90),"")</f>
        <v>83.0272666666667</v>
      </c>
      <c r="S90" s="5" t="n">
        <v>0</v>
      </c>
    </row>
    <row r="91" customFormat="false" ht="15" hidden="false" customHeight="false" outlineLevel="0" collapsed="false">
      <c r="A91" s="5" t="s">
        <v>905</v>
      </c>
      <c r="B91" s="5" t="s">
        <v>668</v>
      </c>
      <c r="C91" s="5" t="s">
        <v>861</v>
      </c>
      <c r="D91" s="9" t="n">
        <v>24.7</v>
      </c>
      <c r="E91" s="5" t="s">
        <v>906</v>
      </c>
      <c r="F91" s="9"/>
      <c r="G91" s="9"/>
      <c r="H91" s="10" t="n">
        <v>606998</v>
      </c>
      <c r="I91" s="9" t="n">
        <v>12.1</v>
      </c>
      <c r="J91" s="5" t="n">
        <v>7505</v>
      </c>
      <c r="K91" s="9"/>
      <c r="L91" s="5" t="s">
        <v>918</v>
      </c>
      <c r="M91" s="5" t="s">
        <v>876</v>
      </c>
      <c r="N91" s="5" t="s">
        <v>908</v>
      </c>
      <c r="O91" s="13" t="n">
        <f aca="false">IF(AND(TRUE(),ISNUMBER(D91),ISNUMBER(D90)),(D91-D90)*100,"")</f>
        <v>-130</v>
      </c>
      <c r="P91" s="13" t="str">
        <f aca="false">IF(AND(ISNUMBER(F91),ISNUMBER(F90)),F91-F90,"")</f>
        <v/>
      </c>
      <c r="Q91" s="8" t="n">
        <f aca="false">IF(COUNTIFS(Wage_Hikes!$A:$A,A91,Wage_Hikes!$D:$D,B91)&gt;0,1,0)</f>
        <v>1</v>
      </c>
      <c r="R91" s="12" t="n">
        <f aca="false">IFERROR(AVERAGEIFS(FX_USDINR!$B:$B,FX_USDINR!$C:$C,B91),"")</f>
        <v>83.4147</v>
      </c>
      <c r="S91" s="5" t="n">
        <v>0</v>
      </c>
    </row>
    <row r="92" customFormat="false" ht="15" hidden="false" customHeight="false" outlineLevel="0" collapsed="false">
      <c r="A92" s="5" t="s">
        <v>905</v>
      </c>
      <c r="B92" s="5" t="s">
        <v>148</v>
      </c>
      <c r="C92" s="5" t="s">
        <v>862</v>
      </c>
      <c r="D92" s="9" t="n">
        <v>24.1</v>
      </c>
      <c r="E92" s="5" t="s">
        <v>906</v>
      </c>
      <c r="F92" s="9"/>
      <c r="G92" s="9"/>
      <c r="H92" s="10" t="n">
        <v>612724</v>
      </c>
      <c r="I92" s="9" t="n">
        <v>12.3</v>
      </c>
      <c r="J92" s="5" t="n">
        <v>7670</v>
      </c>
      <c r="K92" s="9"/>
      <c r="L92" s="5" t="s">
        <v>919</v>
      </c>
      <c r="M92" s="5" t="s">
        <v>876</v>
      </c>
      <c r="N92" s="5" t="s">
        <v>908</v>
      </c>
      <c r="O92" s="13" t="n">
        <f aca="false">IF(AND(TRUE(),ISNUMBER(D92),ISNUMBER(D91)),(D92-D91)*100,"")</f>
        <v>-59.9999999999998</v>
      </c>
      <c r="P92" s="13" t="str">
        <f aca="false">IF(AND(ISNUMBER(F92),ISNUMBER(F91)),F92-F91,"")</f>
        <v/>
      </c>
      <c r="Q92" s="8" t="n">
        <f aca="false">IF(COUNTIFS(Wage_Hikes!$A:$A,A92,Wage_Hikes!$D:$D,B92)&gt;0,1,0)</f>
        <v>0</v>
      </c>
      <c r="R92" s="12" t="n">
        <f aca="false">IFERROR(AVERAGEIFS(FX_USDINR!$B:$B,FX_USDINR!$C:$C,B92),"")</f>
        <v>83.7553333333333</v>
      </c>
      <c r="S92" s="5" t="n">
        <v>0</v>
      </c>
    </row>
    <row r="93" customFormat="false" ht="15" hidden="false" customHeight="false" outlineLevel="0" collapsed="false">
      <c r="A93" s="5" t="s">
        <v>905</v>
      </c>
      <c r="B93" s="5" t="s">
        <v>143</v>
      </c>
      <c r="C93" s="5" t="s">
        <v>863</v>
      </c>
      <c r="D93" s="9" t="n">
        <v>24.5</v>
      </c>
      <c r="E93" s="5" t="s">
        <v>906</v>
      </c>
      <c r="F93" s="9"/>
      <c r="G93" s="9"/>
      <c r="H93" s="10" t="n">
        <v>607354</v>
      </c>
      <c r="I93" s="9" t="n">
        <v>13</v>
      </c>
      <c r="J93" s="5" t="n">
        <v>7539</v>
      </c>
      <c r="K93" s="9"/>
      <c r="L93" s="5" t="s">
        <v>920</v>
      </c>
      <c r="M93" s="5" t="s">
        <v>876</v>
      </c>
      <c r="N93" s="5" t="s">
        <v>908</v>
      </c>
      <c r="O93" s="13" t="n">
        <f aca="false">IF(AND(TRUE(),ISNUMBER(D93),ISNUMBER(D92)),(D93-D92)*100,"")</f>
        <v>39.9999999999999</v>
      </c>
      <c r="P93" s="13" t="str">
        <f aca="false">IF(AND(ISNUMBER(F93),ISNUMBER(F92)),F93-F92,"")</f>
        <v/>
      </c>
      <c r="Q93" s="8" t="n">
        <f aca="false">IF(COUNTIFS(Wage_Hikes!$A:$A,A93,Wage_Hikes!$D:$D,B93)&gt;0,1,0)</f>
        <v>0</v>
      </c>
      <c r="R93" s="12" t="n">
        <f aca="false">IFERROR(AVERAGEIFS(FX_USDINR!$B:$B,FX_USDINR!$C:$C,B93),"")</f>
        <v>84.4354</v>
      </c>
      <c r="S93" s="5" t="n">
        <v>0</v>
      </c>
    </row>
    <row r="94" customFormat="false" ht="15" hidden="false" customHeight="false" outlineLevel="0" collapsed="false">
      <c r="A94" s="5" t="s">
        <v>905</v>
      </c>
      <c r="B94" s="5" t="s">
        <v>128</v>
      </c>
      <c r="C94" s="5" t="s">
        <v>864</v>
      </c>
      <c r="D94" s="9" t="n">
        <v>24.2</v>
      </c>
      <c r="E94" s="5" t="s">
        <v>906</v>
      </c>
      <c r="F94" s="9"/>
      <c r="G94" s="9"/>
      <c r="H94" s="10" t="n">
        <v>607979</v>
      </c>
      <c r="I94" s="9" t="n">
        <v>13.3</v>
      </c>
      <c r="J94" s="5" t="n">
        <v>7465</v>
      </c>
      <c r="K94" s="9"/>
      <c r="L94" s="5" t="s">
        <v>921</v>
      </c>
      <c r="M94" s="5" t="s">
        <v>876</v>
      </c>
      <c r="N94" s="5" t="s">
        <v>908</v>
      </c>
      <c r="O94" s="13" t="n">
        <f aca="false">IF(AND(TRUE(),ISNUMBER(D94),ISNUMBER(D93)),(D94-D93)*100,"")</f>
        <v>-30.0000000000001</v>
      </c>
      <c r="P94" s="13" t="str">
        <f aca="false">IF(AND(ISNUMBER(F94),ISNUMBER(F93)),F94-F93,"")</f>
        <v/>
      </c>
      <c r="Q94" s="8" t="n">
        <f aca="false">IF(COUNTIFS(Wage_Hikes!$A:$A,A94,Wage_Hikes!$D:$D,B94)&gt;0,1,0)</f>
        <v>0</v>
      </c>
      <c r="R94" s="12" t="n">
        <f aca="false">IFERROR(AVERAGEIFS(FX_USDINR!$B:$B,FX_USDINR!$C:$C,B94),"")</f>
        <v>86.6167666666667</v>
      </c>
      <c r="S94" s="5" t="n">
        <v>0</v>
      </c>
    </row>
    <row r="95" customFormat="false" ht="15" hidden="false" customHeight="false" outlineLevel="0" collapsed="false">
      <c r="A95" s="5" t="s">
        <v>905</v>
      </c>
      <c r="B95" s="5" t="s">
        <v>154</v>
      </c>
      <c r="C95" s="5" t="s">
        <v>865</v>
      </c>
      <c r="D95" s="9" t="n">
        <v>24.5</v>
      </c>
      <c r="E95" s="5" t="s">
        <v>906</v>
      </c>
      <c r="F95" s="9"/>
      <c r="G95" s="9"/>
      <c r="H95" s="10" t="n">
        <v>613069</v>
      </c>
      <c r="I95" s="9" t="n">
        <v>13.8</v>
      </c>
      <c r="J95" s="5" t="n">
        <v>7421</v>
      </c>
      <c r="K95" s="9"/>
      <c r="L95" s="5" t="s">
        <v>922</v>
      </c>
      <c r="M95" s="5" t="s">
        <v>876</v>
      </c>
      <c r="N95" s="6" t="s">
        <v>923</v>
      </c>
      <c r="O95" s="13" t="n">
        <f aca="false">IF(AND(TRUE(),ISNUMBER(D95),ISNUMBER(D94)),(D95-D94)*100,"")</f>
        <v>30.0000000000001</v>
      </c>
      <c r="P95" s="13" t="str">
        <f aca="false">IF(AND(ISNUMBER(F95),ISNUMBER(F94)),F95-F94,"")</f>
        <v/>
      </c>
      <c r="Q95" s="8" t="n">
        <f aca="false">IF(COUNTIFS(Wage_Hikes!$A:$A,A95,Wage_Hikes!$D:$D,B95)&gt;0,1,0)</f>
        <v>0</v>
      </c>
      <c r="R95" s="12" t="n">
        <f aca="false">IFERROR(AVERAGEIFS(FX_USDINR!$B:$B,FX_USDINR!$C:$C,B95),"")</f>
        <v>85.5665</v>
      </c>
      <c r="S95" s="5" t="n">
        <v>0</v>
      </c>
    </row>
    <row r="96" customFormat="false" ht="23.85" hidden="false" customHeight="false" outlineLevel="0" collapsed="false">
      <c r="A96" s="5" t="s">
        <v>905</v>
      </c>
      <c r="B96" s="5" t="s">
        <v>506</v>
      </c>
      <c r="C96" s="5" t="s">
        <v>866</v>
      </c>
      <c r="D96" s="9" t="n">
        <v>25.2</v>
      </c>
      <c r="E96" s="5" t="s">
        <v>906</v>
      </c>
      <c r="F96" s="9"/>
      <c r="G96" s="9"/>
      <c r="H96" s="10" t="n">
        <v>593314</v>
      </c>
      <c r="I96" s="9" t="n">
        <v>13.3</v>
      </c>
      <c r="J96" s="5" t="n">
        <v>7466</v>
      </c>
      <c r="K96" s="9"/>
      <c r="L96" s="5" t="s">
        <v>924</v>
      </c>
      <c r="M96" s="5" t="s">
        <v>876</v>
      </c>
      <c r="N96" s="6" t="s">
        <v>925</v>
      </c>
      <c r="O96" s="13" t="n">
        <f aca="false">IF(AND(TRUE(),ISNUMBER(D96),ISNUMBER(D95)),(D96-D95)*100,"")</f>
        <v>69.9999999999999</v>
      </c>
      <c r="P96" s="13" t="str">
        <f aca="false">IF(AND(ISNUMBER(F96),ISNUMBER(F95)),F96-F95,"")</f>
        <v/>
      </c>
      <c r="Q96" s="8" t="n">
        <f aca="false">IF(COUNTIFS(Wage_Hikes!$A:$A,A96,Wage_Hikes!$D:$D,B96)&gt;0,1,0)</f>
        <v>1</v>
      </c>
      <c r="R96" s="12" t="n">
        <f aca="false">IFERROR(AVERAGEIFS(FX_USDINR!$B:$B,FX_USDINR!$C:$C,B96),"")</f>
        <v>87.3541</v>
      </c>
      <c r="S96" s="5" t="n">
        <v>0</v>
      </c>
    </row>
    <row r="97" customFormat="false" ht="23.85" hidden="false" customHeight="false" outlineLevel="0" collapsed="false">
      <c r="A97" s="5" t="s">
        <v>905</v>
      </c>
      <c r="B97" s="5" t="s">
        <v>632</v>
      </c>
      <c r="C97" s="5" t="s">
        <v>868</v>
      </c>
      <c r="D97" s="9" t="n">
        <v>25.2</v>
      </c>
      <c r="E97" s="5" t="s">
        <v>906</v>
      </c>
      <c r="F97" s="9"/>
      <c r="G97" s="9"/>
      <c r="H97" s="10" t="n">
        <v>582163</v>
      </c>
      <c r="I97" s="9" t="n">
        <v>13.5</v>
      </c>
      <c r="J97" s="5" t="n">
        <v>7509</v>
      </c>
      <c r="K97" s="9"/>
      <c r="L97" s="5" t="s">
        <v>926</v>
      </c>
      <c r="M97" s="5" t="s">
        <v>876</v>
      </c>
      <c r="N97" s="6" t="s">
        <v>925</v>
      </c>
      <c r="O97" s="13" t="n">
        <f aca="false">IF(AND(TRUE(),ISNUMBER(D97),ISNUMBER(D96)),(D97-D96)*100,"")</f>
        <v>0</v>
      </c>
      <c r="P97" s="13" t="str">
        <f aca="false">IF(AND(ISNUMBER(F97),ISNUMBER(F96)),F97-F96,"")</f>
        <v/>
      </c>
      <c r="Q97" s="8" t="n">
        <f aca="false">IF(COUNTIFS(Wage_Hikes!$A:$A,A97,Wage_Hikes!$D:$D,B97)&gt;0,1,0)</f>
        <v>0</v>
      </c>
      <c r="R97" s="12" t="n">
        <f aca="false">IFERROR(AVERAGEIFS(FX_USDINR!$B:$B,FX_USDINR!$C:$C,B97),"")</f>
        <v>89.0828333333333</v>
      </c>
      <c r="S97" s="5" t="n">
        <v>0</v>
      </c>
    </row>
    <row r="98" customFormat="false" ht="23.85" hidden="false" customHeight="false" outlineLevel="0" collapsed="false">
      <c r="A98" s="5" t="s">
        <v>905</v>
      </c>
      <c r="B98" s="5" t="s">
        <v>372</v>
      </c>
      <c r="C98" s="5" t="s">
        <v>869</v>
      </c>
      <c r="D98" s="9" t="n">
        <v>25.3</v>
      </c>
      <c r="E98" s="5" t="s">
        <v>906</v>
      </c>
      <c r="F98" s="9"/>
      <c r="G98" s="9"/>
      <c r="H98" s="10" t="n">
        <v>584519</v>
      </c>
      <c r="I98" s="9" t="n">
        <v>13.7</v>
      </c>
      <c r="J98" s="5" t="n">
        <v>7621</v>
      </c>
      <c r="K98" s="9"/>
      <c r="L98" s="5" t="s">
        <v>927</v>
      </c>
      <c r="M98" s="5" t="s">
        <v>876</v>
      </c>
      <c r="N98" s="6" t="s">
        <v>928</v>
      </c>
      <c r="O98" s="13" t="n">
        <f aca="false">IF(AND(TRUE(),ISNUMBER(D98),ISNUMBER(D97)),(D98-D97)*100,"")</f>
        <v>10.0000000000001</v>
      </c>
      <c r="P98" s="13" t="str">
        <f aca="false">IF(AND(ISNUMBER(F98),ISNUMBER(F97)),F98-F97,"")</f>
        <v/>
      </c>
      <c r="Q98" s="8" t="n">
        <f aca="false">IF(COUNTIFS(Wage_Hikes!$A:$A,A98,Wage_Hikes!$D:$D,B98)&gt;0,1,0)</f>
        <v>0</v>
      </c>
      <c r="R98" s="12" t="n">
        <f aca="false">IFERROR(AVERAGEIFS(FX_USDINR!$B:$B,FX_USDINR!$C:$C,B98),"")</f>
        <v>91.4888333333333</v>
      </c>
      <c r="S98" s="5" t="n">
        <v>0</v>
      </c>
    </row>
    <row r="99" customFormat="false" ht="23.85" hidden="false" customHeight="false" outlineLevel="0" collapsed="false">
      <c r="A99" s="5" t="s">
        <v>905</v>
      </c>
      <c r="B99" s="5" t="s">
        <v>120</v>
      </c>
      <c r="C99" s="5" t="s">
        <v>870</v>
      </c>
      <c r="D99" s="9" t="n">
        <v>24</v>
      </c>
      <c r="E99" s="5" t="s">
        <v>906</v>
      </c>
      <c r="F99" s="9"/>
      <c r="G99" s="9"/>
      <c r="H99" s="10" t="n">
        <v>593798</v>
      </c>
      <c r="I99" s="9" t="n">
        <v>13.6</v>
      </c>
      <c r="J99" s="5" t="n">
        <v>7624</v>
      </c>
      <c r="K99" s="9"/>
      <c r="L99" s="5" t="s">
        <v>929</v>
      </c>
      <c r="M99" s="5" t="s">
        <v>876</v>
      </c>
      <c r="N99" s="6" t="s">
        <v>925</v>
      </c>
      <c r="O99" s="13" t="n">
        <f aca="false">IF(AND(TRUE(),ISNUMBER(D99),ISNUMBER(D98)),(D99-D98)*100,"")</f>
        <v>-130</v>
      </c>
      <c r="P99" s="13" t="str">
        <f aca="false">IF(AND(ISNUMBER(F99),ISNUMBER(F98)),F99-F98,"")</f>
        <v/>
      </c>
      <c r="Q99" s="8" t="n">
        <f aca="false">IF(COUNTIFS(Wage_Hikes!$A:$A,A99,Wage_Hikes!$D:$D,B99)&gt;0,1,0)</f>
        <v>1</v>
      </c>
      <c r="R99" s="12" t="n">
        <f aca="false">IFERROR(AVERAGEIFS(FX_USDINR!$B:$B,FX_USDINR!$C:$C,B99),"")</f>
        <v>94.658</v>
      </c>
      <c r="S99" s="5" t="n">
        <v>0</v>
      </c>
    </row>
    <row r="100" customFormat="false" ht="23.85" hidden="false" customHeight="false" outlineLevel="0" collapsed="false">
      <c r="A100" s="5" t="s">
        <v>905</v>
      </c>
      <c r="B100" s="5" t="s">
        <v>223</v>
      </c>
      <c r="C100" s="5" t="s">
        <v>871</v>
      </c>
      <c r="D100" s="9" t="n">
        <v>24</v>
      </c>
      <c r="E100" s="5" t="s">
        <v>906</v>
      </c>
      <c r="F100" s="9"/>
      <c r="G100" s="9"/>
      <c r="H100" s="10" t="n">
        <v>598056</v>
      </c>
      <c r="I100" s="9" t="n">
        <v>13.3</v>
      </c>
      <c r="J100" s="5" t="n">
        <v>7642</v>
      </c>
      <c r="K100" s="9"/>
      <c r="L100" s="5" t="s">
        <v>92</v>
      </c>
      <c r="M100" s="5" t="s">
        <v>876</v>
      </c>
      <c r="N100" s="6" t="s">
        <v>930</v>
      </c>
      <c r="O100" s="13" t="n">
        <f aca="false">IF(AND(TRUE(),ISNUMBER(D100),ISNUMBER(D99)),(D100-D99)*100,"")</f>
        <v>0</v>
      </c>
      <c r="P100" s="13" t="str">
        <f aca="false">IF(AND(ISNUMBER(F100),ISNUMBER(F99)),F100-F99,"")</f>
        <v/>
      </c>
      <c r="Q100" s="8" t="n">
        <f aca="false">IF(COUNTIFS(Wage_Hikes!$A:$A,A100,Wage_Hikes!$D:$D,B100)&gt;0,1,0)</f>
        <v>0</v>
      </c>
      <c r="R100" s="12" t="n">
        <f aca="false">IFERROR(AVERAGEIFS(FX_USDINR!$B:$B,FX_USDINR!$C:$C,B100),"")</f>
        <v>95.6046666666667</v>
      </c>
      <c r="S100" s="5" t="n">
        <v>0</v>
      </c>
    </row>
    <row r="101" customFormat="false" ht="23.85" hidden="false" customHeight="false" outlineLevel="0" collapsed="false">
      <c r="A101" s="5" t="s">
        <v>931</v>
      </c>
      <c r="B101" s="5" t="s">
        <v>148</v>
      </c>
      <c r="C101" s="5" t="s">
        <v>862</v>
      </c>
      <c r="D101" s="9" t="n">
        <v>18.6</v>
      </c>
      <c r="E101" s="6" t="s">
        <v>932</v>
      </c>
      <c r="F101" s="9"/>
      <c r="G101" s="9"/>
      <c r="H101" s="10" t="n">
        <v>218621</v>
      </c>
      <c r="I101" s="9" t="n">
        <v>12.9</v>
      </c>
      <c r="J101" s="5"/>
      <c r="K101" s="9"/>
      <c r="L101" s="5" t="s">
        <v>335</v>
      </c>
      <c r="M101" s="5" t="s">
        <v>933</v>
      </c>
      <c r="N101" s="6" t="s">
        <v>934</v>
      </c>
      <c r="O101" s="11"/>
      <c r="P101" s="11"/>
      <c r="Q101" s="8" t="n">
        <f aca="false">IF(COUNTIFS(Wage_Hikes!$A:$A,A101,Wage_Hikes!$D:$D,B101)&gt;0,1,0)</f>
        <v>0</v>
      </c>
      <c r="R101" s="12" t="n">
        <f aca="false">IFERROR(AVERAGEIFS(FX_USDINR!$B:$B,FX_USDINR!$C:$C,B101),"")</f>
        <v>83.7553333333333</v>
      </c>
      <c r="S101" s="5" t="n">
        <v>0</v>
      </c>
    </row>
    <row r="102" customFormat="false" ht="23.85" hidden="false" customHeight="false" outlineLevel="0" collapsed="false">
      <c r="A102" s="5" t="s">
        <v>931</v>
      </c>
      <c r="B102" s="5" t="s">
        <v>143</v>
      </c>
      <c r="C102" s="5" t="s">
        <v>863</v>
      </c>
      <c r="D102" s="9" t="n">
        <v>19.5</v>
      </c>
      <c r="E102" s="6" t="s">
        <v>932</v>
      </c>
      <c r="F102" s="9"/>
      <c r="G102" s="9"/>
      <c r="H102" s="10" t="n">
        <v>220755</v>
      </c>
      <c r="I102" s="9" t="n">
        <v>13.2</v>
      </c>
      <c r="J102" s="5"/>
      <c r="K102" s="9"/>
      <c r="L102" s="5" t="s">
        <v>935</v>
      </c>
      <c r="M102" s="5" t="s">
        <v>933</v>
      </c>
      <c r="N102" s="6" t="s">
        <v>936</v>
      </c>
      <c r="O102" s="13" t="n">
        <f aca="false">IF(AND(TRUE(),ISNUMBER(D102),ISNUMBER(D101)),(D102-D101)*100,"")</f>
        <v>89.9999999999999</v>
      </c>
      <c r="P102" s="13" t="str">
        <f aca="false">IF(AND(ISNUMBER(F102),ISNUMBER(F101)),F102-F101,"")</f>
        <v/>
      </c>
      <c r="Q102" s="8" t="n">
        <f aca="false">IF(COUNTIFS(Wage_Hikes!$A:$A,A102,Wage_Hikes!$D:$D,B102)&gt;0,1,0)</f>
        <v>0</v>
      </c>
      <c r="R102" s="12" t="n">
        <f aca="false">IFERROR(AVERAGEIFS(FX_USDINR!$B:$B,FX_USDINR!$C:$C,B102),"")</f>
        <v>84.4354</v>
      </c>
      <c r="S102" s="5" t="n">
        <v>0</v>
      </c>
    </row>
    <row r="103" customFormat="false" ht="23.85" hidden="false" customHeight="false" outlineLevel="0" collapsed="false">
      <c r="A103" s="5" t="s">
        <v>931</v>
      </c>
      <c r="B103" s="5" t="s">
        <v>128</v>
      </c>
      <c r="C103" s="5" t="s">
        <v>864</v>
      </c>
      <c r="D103" s="9" t="n">
        <v>18</v>
      </c>
      <c r="E103" s="6" t="s">
        <v>932</v>
      </c>
      <c r="F103" s="9"/>
      <c r="G103" s="9"/>
      <c r="H103" s="10" t="n">
        <v>223420</v>
      </c>
      <c r="I103" s="9" t="n">
        <v>13</v>
      </c>
      <c r="J103" s="5"/>
      <c r="K103" s="9"/>
      <c r="L103" s="5" t="s">
        <v>937</v>
      </c>
      <c r="M103" s="5" t="s">
        <v>933</v>
      </c>
      <c r="N103" s="6" t="s">
        <v>938</v>
      </c>
      <c r="O103" s="13" t="n">
        <f aca="false">IF(AND(TRUE(),ISNUMBER(D103),ISNUMBER(D102)),(D103-D102)*100,"")</f>
        <v>-150</v>
      </c>
      <c r="P103" s="13" t="str">
        <f aca="false">IF(AND(ISNUMBER(F103),ISNUMBER(F102)),F103-F102,"")</f>
        <v/>
      </c>
      <c r="Q103" s="8" t="n">
        <f aca="false">IF(COUNTIFS(Wage_Hikes!$A:$A,A103,Wage_Hikes!$D:$D,B103)&gt;0,1,0)</f>
        <v>0</v>
      </c>
      <c r="R103" s="12" t="n">
        <f aca="false">IFERROR(AVERAGEIFS(FX_USDINR!$B:$B,FX_USDINR!$C:$C,B103),"")</f>
        <v>86.6167666666667</v>
      </c>
      <c r="S103" s="5" t="n">
        <v>0</v>
      </c>
    </row>
    <row r="104" customFormat="false" ht="23.85" hidden="false" customHeight="false" outlineLevel="0" collapsed="false">
      <c r="A104" s="5" t="s">
        <v>931</v>
      </c>
      <c r="B104" s="5" t="s">
        <v>154</v>
      </c>
      <c r="C104" s="5" t="s">
        <v>865</v>
      </c>
      <c r="D104" s="9" t="n">
        <v>16.3</v>
      </c>
      <c r="E104" s="6" t="s">
        <v>932</v>
      </c>
      <c r="F104" s="9"/>
      <c r="G104" s="9"/>
      <c r="H104" s="10" t="n">
        <v>223151</v>
      </c>
      <c r="I104" s="9" t="n">
        <v>12.8</v>
      </c>
      <c r="J104" s="5"/>
      <c r="K104" s="9"/>
      <c r="L104" s="5" t="s">
        <v>939</v>
      </c>
      <c r="M104" s="5" t="s">
        <v>933</v>
      </c>
      <c r="N104" s="6" t="s">
        <v>940</v>
      </c>
      <c r="O104" s="13" t="n">
        <f aca="false">IF(AND(TRUE(),ISNUMBER(D104),ISNUMBER(D103)),(D104-D103)*100,"")</f>
        <v>-170</v>
      </c>
      <c r="P104" s="13" t="str">
        <f aca="false">IF(AND(ISNUMBER(F104),ISNUMBER(F103)),F104-F103,"")</f>
        <v/>
      </c>
      <c r="Q104" s="8" t="n">
        <f aca="false">IF(COUNTIFS(Wage_Hikes!$A:$A,A104,Wage_Hikes!$D:$D,B104)&gt;0,1,0)</f>
        <v>0</v>
      </c>
      <c r="R104" s="12" t="n">
        <f aca="false">IFERROR(AVERAGEIFS(FX_USDINR!$B:$B,FX_USDINR!$C:$C,B104),"")</f>
        <v>85.5665</v>
      </c>
      <c r="S104" s="5" t="n">
        <v>0</v>
      </c>
    </row>
    <row r="105" customFormat="false" ht="23.85" hidden="false" customHeight="false" outlineLevel="0" collapsed="false">
      <c r="A105" s="5" t="s">
        <v>931</v>
      </c>
      <c r="B105" s="5" t="s">
        <v>506</v>
      </c>
      <c r="C105" s="5" t="s">
        <v>866</v>
      </c>
      <c r="D105" s="9" t="n">
        <v>17.5</v>
      </c>
      <c r="E105" s="6" t="s">
        <v>932</v>
      </c>
      <c r="F105" s="9"/>
      <c r="G105" s="9"/>
      <c r="H105" s="10" t="n">
        <v>226640</v>
      </c>
      <c r="I105" s="9" t="n">
        <v>12.6</v>
      </c>
      <c r="J105" s="5"/>
      <c r="K105" s="9"/>
      <c r="L105" s="5" t="s">
        <v>941</v>
      </c>
      <c r="M105" s="5" t="s">
        <v>933</v>
      </c>
      <c r="N105" s="6" t="s">
        <v>942</v>
      </c>
      <c r="O105" s="13" t="n">
        <f aca="false">IF(AND(TRUE(),ISNUMBER(D105),ISNUMBER(D104)),(D105-D104)*100,"")</f>
        <v>120</v>
      </c>
      <c r="P105" s="13" t="str">
        <f aca="false">IF(AND(ISNUMBER(F105),ISNUMBER(F104)),F105-F104,"")</f>
        <v/>
      </c>
      <c r="Q105" s="8" t="n">
        <f aca="false">IF(COUNTIFS(Wage_Hikes!$A:$A,A105,Wage_Hikes!$D:$D,B105)&gt;0,1,0)</f>
        <v>0</v>
      </c>
      <c r="R105" s="12" t="n">
        <f aca="false">IFERROR(AVERAGEIFS(FX_USDINR!$B:$B,FX_USDINR!$C:$C,B105),"")</f>
        <v>87.3541</v>
      </c>
      <c r="S105" s="5" t="n">
        <v>1</v>
      </c>
    </row>
    <row r="106" customFormat="false" ht="23.85" hidden="false" customHeight="false" outlineLevel="0" collapsed="false">
      <c r="A106" s="5" t="s">
        <v>931</v>
      </c>
      <c r="B106" s="5" t="s">
        <v>632</v>
      </c>
      <c r="C106" s="5" t="s">
        <v>868</v>
      </c>
      <c r="D106" s="9" t="n">
        <v>18.6</v>
      </c>
      <c r="E106" s="6" t="s">
        <v>932</v>
      </c>
      <c r="F106" s="9"/>
      <c r="G106" s="9"/>
      <c r="H106" s="10" t="n">
        <v>226379</v>
      </c>
      <c r="I106" s="9" t="n">
        <v>12.4</v>
      </c>
      <c r="J106" s="5"/>
      <c r="K106" s="9"/>
      <c r="L106" s="5" t="s">
        <v>943</v>
      </c>
      <c r="M106" s="5" t="s">
        <v>933</v>
      </c>
      <c r="N106" s="6" t="s">
        <v>944</v>
      </c>
      <c r="O106" s="13" t="n">
        <f aca="false">IF(AND(TRUE(),ISNUMBER(D106),ISNUMBER(D105)),(D106-D105)*100,"")</f>
        <v>110</v>
      </c>
      <c r="P106" s="13" t="str">
        <f aca="false">IF(AND(ISNUMBER(F106),ISNUMBER(F105)),F106-F105,"")</f>
        <v/>
      </c>
      <c r="Q106" s="8" t="n">
        <f aca="false">IF(COUNTIFS(Wage_Hikes!$A:$A,A106,Wage_Hikes!$D:$D,B106)&gt;0,1,0)</f>
        <v>0</v>
      </c>
      <c r="R106" s="12" t="n">
        <f aca="false">IFERROR(AVERAGEIFS(FX_USDINR!$B:$B,FX_USDINR!$C:$C,B106),"")</f>
        <v>89.0828333333333</v>
      </c>
      <c r="S106" s="5" t="n">
        <v>1</v>
      </c>
    </row>
    <row r="107" customFormat="false" ht="23.85" hidden="false" customHeight="false" outlineLevel="0" collapsed="false">
      <c r="A107" s="5" t="s">
        <v>931</v>
      </c>
      <c r="B107" s="5" t="s">
        <v>372</v>
      </c>
      <c r="C107" s="5" t="s">
        <v>869</v>
      </c>
      <c r="D107" s="9" t="n">
        <v>16.5</v>
      </c>
      <c r="E107" s="6" t="s">
        <v>932</v>
      </c>
      <c r="F107" s="9"/>
      <c r="G107" s="9"/>
      <c r="H107" s="10" t="n">
        <v>227181</v>
      </c>
      <c r="I107" s="9" t="n">
        <v>12.5</v>
      </c>
      <c r="J107" s="5"/>
      <c r="K107" s="9"/>
      <c r="L107" s="5" t="s">
        <v>341</v>
      </c>
      <c r="M107" s="5" t="s">
        <v>933</v>
      </c>
      <c r="N107" s="6" t="s">
        <v>945</v>
      </c>
      <c r="O107" s="13" t="n">
        <f aca="false">IF(AND(TRUE(),ISNUMBER(D107),ISNUMBER(D106)),(D107-D106)*100,"")</f>
        <v>-210</v>
      </c>
      <c r="P107" s="13" t="str">
        <f aca="false">IF(AND(ISNUMBER(F107),ISNUMBER(F106)),F107-F106,"")</f>
        <v/>
      </c>
      <c r="Q107" s="8" t="n">
        <f aca="false">IF(COUNTIFS(Wage_Hikes!$A:$A,A107,Wage_Hikes!$D:$D,B107)&gt;0,1,0)</f>
        <v>0</v>
      </c>
      <c r="R107" s="12" t="n">
        <f aca="false">IFERROR(AVERAGEIFS(FX_USDINR!$B:$B,FX_USDINR!$C:$C,B107),"")</f>
        <v>91.4888333333333</v>
      </c>
      <c r="S107" s="5" t="n">
        <v>1</v>
      </c>
    </row>
    <row r="108" customFormat="false" ht="23.85" hidden="false" customHeight="false" outlineLevel="0" collapsed="false">
      <c r="A108" s="5" t="s">
        <v>931</v>
      </c>
      <c r="B108" s="5" t="s">
        <v>120</v>
      </c>
      <c r="C108" s="5" t="s">
        <v>870</v>
      </c>
      <c r="D108" s="9" t="n">
        <v>16.9</v>
      </c>
      <c r="E108" s="6" t="s">
        <v>932</v>
      </c>
      <c r="F108" s="9"/>
      <c r="G108" s="9"/>
      <c r="H108" s="10" t="n">
        <v>223889</v>
      </c>
      <c r="I108" s="9" t="n">
        <v>12.7</v>
      </c>
      <c r="J108" s="5"/>
      <c r="K108" s="9"/>
      <c r="L108" s="5" t="s">
        <v>98</v>
      </c>
      <c r="M108" s="5" t="s">
        <v>933</v>
      </c>
      <c r="N108" s="6" t="s">
        <v>946</v>
      </c>
      <c r="O108" s="13" t="n">
        <f aca="false">IF(AND(TRUE(),ISNUMBER(D108),ISNUMBER(D107)),(D108-D107)*100,"")</f>
        <v>39.9999999999999</v>
      </c>
      <c r="P108" s="13" t="str">
        <f aca="false">IF(AND(ISNUMBER(F108),ISNUMBER(F107)),F108-F107,"")</f>
        <v/>
      </c>
      <c r="Q108" s="8" t="n">
        <f aca="false">IF(COUNTIFS(Wage_Hikes!$A:$A,A108,Wage_Hikes!$D:$D,B108)&gt;0,1,0)</f>
        <v>0</v>
      </c>
      <c r="R108" s="12" t="n">
        <f aca="false">IFERROR(AVERAGEIFS(FX_USDINR!$B:$B,FX_USDINR!$C:$C,B108),"")</f>
        <v>94.658</v>
      </c>
      <c r="S108" s="5" t="n">
        <v>1</v>
      </c>
    </row>
    <row r="109" customFormat="false" ht="23.85" hidden="false" customHeight="false" outlineLevel="0" collapsed="false">
      <c r="A109" s="5" t="s">
        <v>931</v>
      </c>
      <c r="B109" s="5" t="s">
        <v>223</v>
      </c>
      <c r="C109" s="5" t="s">
        <v>871</v>
      </c>
      <c r="D109" s="9" t="n">
        <v>18.2</v>
      </c>
      <c r="E109" s="6" t="s">
        <v>932</v>
      </c>
      <c r="F109" s="9"/>
      <c r="G109" s="9"/>
      <c r="H109" s="10" t="n">
        <v>230339</v>
      </c>
      <c r="I109" s="9" t="n">
        <v>12.8</v>
      </c>
      <c r="J109" s="5"/>
      <c r="K109" s="9"/>
      <c r="L109" s="5" t="s">
        <v>98</v>
      </c>
      <c r="M109" s="5" t="s">
        <v>933</v>
      </c>
      <c r="N109" s="6" t="s">
        <v>947</v>
      </c>
      <c r="O109" s="13" t="n">
        <f aca="false">IF(AND(TRUE(),ISNUMBER(D109),ISNUMBER(D108)),(D109-D108)*100,"")</f>
        <v>130</v>
      </c>
      <c r="P109" s="13" t="str">
        <f aca="false">IF(AND(ISNUMBER(F109),ISNUMBER(F108)),F109-F108,"")</f>
        <v/>
      </c>
      <c r="Q109" s="8" t="n">
        <f aca="false">IF(COUNTIFS(Wage_Hikes!$A:$A,A109,Wage_Hikes!$D:$D,B109)&gt;0,1,0)</f>
        <v>0</v>
      </c>
      <c r="R109" s="12" t="n">
        <f aca="false">IFERROR(AVERAGEIFS(FX_USDINR!$B:$B,FX_USDINR!$C:$C,B109),"")</f>
        <v>95.6046666666667</v>
      </c>
      <c r="S109" s="5" t="n">
        <v>1</v>
      </c>
    </row>
    <row r="110" customFormat="false" ht="15" hidden="false" customHeight="false" outlineLevel="0" collapsed="false">
      <c r="A110" s="5" t="s">
        <v>948</v>
      </c>
      <c r="B110" s="5" t="s">
        <v>650</v>
      </c>
      <c r="C110" s="5" t="s">
        <v>850</v>
      </c>
      <c r="D110" s="9" t="n">
        <v>17.5</v>
      </c>
      <c r="E110" s="5" t="s">
        <v>700</v>
      </c>
      <c r="F110" s="9" t="n">
        <v>83.5</v>
      </c>
      <c r="G110" s="9"/>
      <c r="H110" s="10" t="n">
        <v>86936</v>
      </c>
      <c r="I110" s="9" t="n">
        <v>24.1</v>
      </c>
      <c r="J110" s="5"/>
      <c r="K110" s="9"/>
      <c r="L110" s="5" t="s">
        <v>526</v>
      </c>
      <c r="M110" s="5" t="s">
        <v>949</v>
      </c>
      <c r="N110" s="6" t="s">
        <v>950</v>
      </c>
      <c r="O110" s="11"/>
      <c r="P110" s="11"/>
      <c r="Q110" s="8" t="n">
        <f aca="false">IF(COUNTIFS(Wage_Hikes!$A:$A,A110,Wage_Hikes!$D:$D,B110)&gt;0,1,0)</f>
        <v>0</v>
      </c>
      <c r="R110" s="12" t="n">
        <f aca="false">IFERROR(AVERAGEIFS(FX_USDINR!$B:$B,FX_USDINR!$C:$C,B110),"")</f>
        <v>79.7839333333333</v>
      </c>
      <c r="S110" s="5" t="n">
        <v>0</v>
      </c>
    </row>
    <row r="111" customFormat="false" ht="15" hidden="false" customHeight="false" outlineLevel="0" collapsed="false">
      <c r="A111" s="5" t="s">
        <v>948</v>
      </c>
      <c r="B111" s="5" t="s">
        <v>161</v>
      </c>
      <c r="C111" s="5" t="s">
        <v>851</v>
      </c>
      <c r="D111" s="9" t="n">
        <v>13.9</v>
      </c>
      <c r="E111" s="5" t="s">
        <v>700</v>
      </c>
      <c r="F111" s="9" t="n">
        <v>82.9</v>
      </c>
      <c r="G111" s="9"/>
      <c r="H111" s="10" t="n">
        <v>86462</v>
      </c>
      <c r="I111" s="9" t="n">
        <v>22.3</v>
      </c>
      <c r="J111" s="5" t="n">
        <v>1046.7</v>
      </c>
      <c r="K111" s="9"/>
      <c r="L111" s="5" t="s">
        <v>951</v>
      </c>
      <c r="M111" s="5" t="s">
        <v>952</v>
      </c>
      <c r="N111" s="5" t="s">
        <v>953</v>
      </c>
      <c r="O111" s="13" t="n">
        <f aca="false">IF(AND(TRUE(),ISNUMBER(D111),ISNUMBER(D110)),(D111-D110)*100,"")</f>
        <v>-360</v>
      </c>
      <c r="P111" s="13" t="n">
        <f aca="false">IF(AND(ISNUMBER(F111),ISNUMBER(F110)),F111-F110,"")</f>
        <v>-0.599999999999994</v>
      </c>
      <c r="Q111" s="8" t="n">
        <f aca="false">IF(COUNTIFS(Wage_Hikes!$A:$A,A111,Wage_Hikes!$D:$D,B111)&gt;0,1,0)</f>
        <v>0</v>
      </c>
      <c r="R111" s="12" t="n">
        <f aca="false">IFERROR(AVERAGEIFS(FX_USDINR!$B:$B,FX_USDINR!$C:$C,B111),"")</f>
        <v>82.1486</v>
      </c>
      <c r="S111" s="5" t="n">
        <v>1</v>
      </c>
    </row>
    <row r="112" customFormat="false" ht="15" hidden="false" customHeight="false" outlineLevel="0" collapsed="false">
      <c r="A112" s="5" t="s">
        <v>948</v>
      </c>
      <c r="B112" s="5" t="s">
        <v>853</v>
      </c>
      <c r="C112" s="5" t="s">
        <v>854</v>
      </c>
      <c r="D112" s="9" t="n">
        <v>16.4</v>
      </c>
      <c r="E112" s="5" t="s">
        <v>700</v>
      </c>
      <c r="F112" s="9" t="n">
        <v>81.7</v>
      </c>
      <c r="G112" s="9"/>
      <c r="H112" s="10" t="n">
        <v>84546</v>
      </c>
      <c r="I112" s="9" t="n">
        <v>20.2</v>
      </c>
      <c r="J112" s="5" t="n">
        <v>1057.5</v>
      </c>
      <c r="K112" s="9"/>
      <c r="L112" s="5" t="s">
        <v>954</v>
      </c>
      <c r="M112" s="5" t="s">
        <v>952</v>
      </c>
      <c r="N112" s="5"/>
      <c r="O112" s="13" t="n">
        <f aca="false">IF(AND(TRUE(),ISNUMBER(D112),ISNUMBER(D111)),(D112-D111)*100,"")</f>
        <v>250</v>
      </c>
      <c r="P112" s="13" t="n">
        <f aca="false">IF(AND(ISNUMBER(F112),ISNUMBER(F111)),F112-F111,"")</f>
        <v>-1.2</v>
      </c>
      <c r="Q112" s="8" t="n">
        <f aca="false">IF(COUNTIFS(Wage_Hikes!$A:$A,A112,Wage_Hikes!$D:$D,B112)&gt;0,1,0)</f>
        <v>0</v>
      </c>
      <c r="R112" s="12" t="n">
        <f aca="false">IFERROR(AVERAGEIFS(FX_USDINR!$B:$B,FX_USDINR!$C:$C,B112),"")</f>
        <v>82.2023333333333</v>
      </c>
      <c r="S112" s="5" t="n">
        <v>0</v>
      </c>
    </row>
    <row r="113" customFormat="false" ht="15" hidden="false" customHeight="false" outlineLevel="0" collapsed="false">
      <c r="A113" s="5" t="s">
        <v>948</v>
      </c>
      <c r="B113" s="5" t="s">
        <v>658</v>
      </c>
      <c r="C113" s="5" t="s">
        <v>855</v>
      </c>
      <c r="D113" s="9" t="n">
        <v>16.7</v>
      </c>
      <c r="E113" s="5" t="s">
        <v>700</v>
      </c>
      <c r="F113" s="9" t="n">
        <v>84.8</v>
      </c>
      <c r="G113" s="9"/>
      <c r="H113" s="10" t="n">
        <v>82738</v>
      </c>
      <c r="I113" s="9" t="n">
        <v>17.8</v>
      </c>
      <c r="J113" s="5"/>
      <c r="K113" s="9"/>
      <c r="L113" s="5" t="s">
        <v>526</v>
      </c>
      <c r="M113" s="5" t="s">
        <v>949</v>
      </c>
      <c r="N113" s="5"/>
      <c r="O113" s="13" t="n">
        <f aca="false">IF(AND(TRUE(),ISNUMBER(D113),ISNUMBER(D112)),(D113-D112)*100,"")</f>
        <v>30.0000000000001</v>
      </c>
      <c r="P113" s="13" t="n">
        <f aca="false">IF(AND(ISNUMBER(F113),ISNUMBER(F112)),F113-F112,"")</f>
        <v>3.09999999999999</v>
      </c>
      <c r="Q113" s="8" t="n">
        <f aca="false">IF(COUNTIFS(Wage_Hikes!$A:$A,A113,Wage_Hikes!$D:$D,B113)&gt;0,1,0)</f>
        <v>0</v>
      </c>
      <c r="R113" s="12" t="n">
        <f aca="false">IFERROR(AVERAGEIFS(FX_USDINR!$B:$B,FX_USDINR!$C:$C,B113),"")</f>
        <v>82.1638</v>
      </c>
      <c r="S113" s="5" t="n">
        <v>0</v>
      </c>
    </row>
    <row r="114" customFormat="false" ht="15" hidden="false" customHeight="false" outlineLevel="0" collapsed="false">
      <c r="A114" s="5" t="s">
        <v>948</v>
      </c>
      <c r="B114" s="5" t="s">
        <v>165</v>
      </c>
      <c r="C114" s="5" t="s">
        <v>856</v>
      </c>
      <c r="D114" s="9" t="n">
        <v>16</v>
      </c>
      <c r="E114" s="5" t="s">
        <v>700</v>
      </c>
      <c r="F114" s="9" t="n">
        <v>86.6</v>
      </c>
      <c r="G114" s="9"/>
      <c r="H114" s="10" t="n">
        <v>83532</v>
      </c>
      <c r="I114" s="9" t="n">
        <v>15.2</v>
      </c>
      <c r="J114" s="5" t="n">
        <v>1075.5</v>
      </c>
      <c r="K114" s="9"/>
      <c r="L114" s="5" t="s">
        <v>951</v>
      </c>
      <c r="M114" s="5" t="s">
        <v>952</v>
      </c>
      <c r="N114" s="5"/>
      <c r="O114" s="13" t="n">
        <f aca="false">IF(AND(TRUE(),ISNUMBER(D114),ISNUMBER(D113)),(D114-D113)*100,"")</f>
        <v>-69.9999999999999</v>
      </c>
      <c r="P114" s="13" t="n">
        <f aca="false">IF(AND(ISNUMBER(F114),ISNUMBER(F113)),F114-F113,"")</f>
        <v>1.8</v>
      </c>
      <c r="Q114" s="8" t="n">
        <f aca="false">IF(COUNTIFS(Wage_Hikes!$A:$A,A114,Wage_Hikes!$D:$D,B114)&gt;0,1,0)</f>
        <v>0</v>
      </c>
      <c r="R114" s="12" t="n">
        <f aca="false">IFERROR(AVERAGEIFS(FX_USDINR!$B:$B,FX_USDINR!$C:$C,B114),"")</f>
        <v>82.6795666666667</v>
      </c>
      <c r="S114" s="5" t="n">
        <v>0</v>
      </c>
    </row>
    <row r="115" customFormat="false" ht="15" hidden="false" customHeight="false" outlineLevel="0" collapsed="false">
      <c r="A115" s="5" t="s">
        <v>948</v>
      </c>
      <c r="B115" s="5" t="s">
        <v>858</v>
      </c>
      <c r="C115" s="5" t="s">
        <v>859</v>
      </c>
      <c r="D115" s="9" t="n">
        <v>15.4</v>
      </c>
      <c r="E115" s="5" t="s">
        <v>700</v>
      </c>
      <c r="F115" s="9" t="n">
        <v>87.4</v>
      </c>
      <c r="G115" s="9"/>
      <c r="H115" s="10" t="n">
        <v>82471</v>
      </c>
      <c r="I115" s="9" t="n">
        <v>14.2</v>
      </c>
      <c r="J115" s="5" t="n">
        <v>1083.7</v>
      </c>
      <c r="K115" s="9"/>
      <c r="L115" s="5" t="s">
        <v>955</v>
      </c>
      <c r="M115" s="5" t="s">
        <v>952</v>
      </c>
      <c r="N115" s="5" t="s">
        <v>956</v>
      </c>
      <c r="O115" s="13" t="n">
        <f aca="false">IF(AND(TRUE(),ISNUMBER(D115),ISNUMBER(D114)),(D115-D114)*100,"")</f>
        <v>-60</v>
      </c>
      <c r="P115" s="13" t="n">
        <f aca="false">IF(AND(ISNUMBER(F115),ISNUMBER(F114)),F115-F114,"")</f>
        <v>0.800000000000011</v>
      </c>
      <c r="Q115" s="8" t="n">
        <f aca="false">IF(COUNTIFS(Wage_Hikes!$A:$A,A115,Wage_Hikes!$D:$D,B115)&gt;0,1,0)</f>
        <v>0</v>
      </c>
      <c r="R115" s="12" t="n">
        <f aca="false">IFERROR(AVERAGEIFS(FX_USDINR!$B:$B,FX_USDINR!$C:$C,B115),"")</f>
        <v>83.2454</v>
      </c>
      <c r="S115" s="5" t="n">
        <v>0</v>
      </c>
    </row>
    <row r="116" customFormat="false" ht="15" hidden="false" customHeight="false" outlineLevel="0" collapsed="false">
      <c r="A116" s="5" t="s">
        <v>948</v>
      </c>
      <c r="B116" s="5" t="s">
        <v>665</v>
      </c>
      <c r="C116" s="5" t="s">
        <v>860</v>
      </c>
      <c r="D116" s="9" t="n">
        <v>14.7</v>
      </c>
      <c r="E116" s="5" t="s">
        <v>700</v>
      </c>
      <c r="F116" s="9" t="n">
        <v>86.9</v>
      </c>
      <c r="G116" s="9"/>
      <c r="H116" s="10" t="n">
        <v>81650</v>
      </c>
      <c r="I116" s="9" t="n">
        <v>14.4</v>
      </c>
      <c r="J116" s="5" t="n">
        <v>1069.4</v>
      </c>
      <c r="K116" s="9"/>
      <c r="L116" s="5" t="s">
        <v>954</v>
      </c>
      <c r="M116" s="5" t="s">
        <v>952</v>
      </c>
      <c r="N116" s="5"/>
      <c r="O116" s="13" t="n">
        <f aca="false">IF(AND(TRUE(),ISNUMBER(D116),ISNUMBER(D115)),(D116-D115)*100,"")</f>
        <v>-70.0000000000001</v>
      </c>
      <c r="P116" s="13" t="n">
        <f aca="false">IF(AND(ISNUMBER(F116),ISNUMBER(F115)),F116-F115,"")</f>
        <v>-0.5</v>
      </c>
      <c r="Q116" s="8" t="n">
        <f aca="false">IF(COUNTIFS(Wage_Hikes!$A:$A,A116,Wage_Hikes!$D:$D,B116)&gt;0,1,0)</f>
        <v>0</v>
      </c>
      <c r="R116" s="12" t="n">
        <f aca="false">IFERROR(AVERAGEIFS(FX_USDINR!$B:$B,FX_USDINR!$C:$C,B116),"")</f>
        <v>83.0272666666667</v>
      </c>
      <c r="S116" s="5" t="n">
        <v>0</v>
      </c>
    </row>
    <row r="117" customFormat="false" ht="15" hidden="false" customHeight="false" outlineLevel="0" collapsed="false">
      <c r="A117" s="5" t="s">
        <v>948</v>
      </c>
      <c r="B117" s="5" t="s">
        <v>668</v>
      </c>
      <c r="C117" s="5" t="s">
        <v>861</v>
      </c>
      <c r="D117" s="9" t="n">
        <v>15</v>
      </c>
      <c r="E117" s="5" t="s">
        <v>700</v>
      </c>
      <c r="F117" s="9" t="n">
        <v>88.3</v>
      </c>
      <c r="G117" s="9"/>
      <c r="H117" s="10" t="n">
        <v>81934</v>
      </c>
      <c r="I117" s="9" t="n">
        <v>14.4</v>
      </c>
      <c r="J117" s="5"/>
      <c r="K117" s="9"/>
      <c r="L117" s="5" t="s">
        <v>957</v>
      </c>
      <c r="M117" s="5" t="s">
        <v>949</v>
      </c>
      <c r="N117" s="5" t="s">
        <v>958</v>
      </c>
      <c r="O117" s="13" t="n">
        <f aca="false">IF(AND(TRUE(),ISNUMBER(D117),ISNUMBER(D116)),(D117-D116)*100,"")</f>
        <v>30.0000000000001</v>
      </c>
      <c r="P117" s="13" t="n">
        <f aca="false">IF(AND(ISNUMBER(F117),ISNUMBER(F116)),F117-F116,"")</f>
        <v>1.39999999999999</v>
      </c>
      <c r="Q117" s="8" t="n">
        <f aca="false">IF(COUNTIFS(Wage_Hikes!$A:$A,A117,Wage_Hikes!$D:$D,B117)&gt;0,1,0)</f>
        <v>0</v>
      </c>
      <c r="R117" s="12" t="n">
        <f aca="false">IFERROR(AVERAGEIFS(FX_USDINR!$B:$B,FX_USDINR!$C:$C,B117),"")</f>
        <v>83.4147</v>
      </c>
      <c r="S117" s="5" t="n">
        <v>0</v>
      </c>
    </row>
    <row r="118" customFormat="false" ht="15" hidden="false" customHeight="false" outlineLevel="0" collapsed="false">
      <c r="A118" s="5" t="s">
        <v>948</v>
      </c>
      <c r="B118" s="5" t="s">
        <v>148</v>
      </c>
      <c r="C118" s="5" t="s">
        <v>862</v>
      </c>
      <c r="D118" s="9" t="n">
        <v>15.5</v>
      </c>
      <c r="E118" s="5" t="s">
        <v>700</v>
      </c>
      <c r="F118" s="9" t="n">
        <v>87.7</v>
      </c>
      <c r="G118" s="9"/>
      <c r="H118" s="10" t="n">
        <v>84438</v>
      </c>
      <c r="I118" s="9" t="n">
        <v>14.5</v>
      </c>
      <c r="J118" s="5"/>
      <c r="K118" s="9"/>
      <c r="L118" s="5" t="s">
        <v>959</v>
      </c>
      <c r="M118" s="5" t="s">
        <v>949</v>
      </c>
      <c r="N118" s="5"/>
      <c r="O118" s="13" t="n">
        <f aca="false">IF(AND(TRUE(),ISNUMBER(D118),ISNUMBER(D117)),(D118-D117)*100,"")</f>
        <v>50</v>
      </c>
      <c r="P118" s="13" t="n">
        <f aca="false">IF(AND(ISNUMBER(F118),ISNUMBER(F117)),F118-F117,"")</f>
        <v>-0.599999999999994</v>
      </c>
      <c r="Q118" s="8" t="n">
        <f aca="false">IF(COUNTIFS(Wage_Hikes!$A:$A,A118,Wage_Hikes!$D:$D,B118)&gt;0,1,0)</f>
        <v>0</v>
      </c>
      <c r="R118" s="12" t="n">
        <f aca="false">IFERROR(AVERAGEIFS(FX_USDINR!$B:$B,FX_USDINR!$C:$C,B118),"")</f>
        <v>83.7553333333333</v>
      </c>
      <c r="S118" s="5" t="n">
        <v>0</v>
      </c>
    </row>
    <row r="119" customFormat="false" ht="15" hidden="false" customHeight="false" outlineLevel="0" collapsed="false">
      <c r="A119" s="5" t="s">
        <v>948</v>
      </c>
      <c r="B119" s="5" t="s">
        <v>143</v>
      </c>
      <c r="C119" s="5" t="s">
        <v>863</v>
      </c>
      <c r="D119" s="9" t="n">
        <v>13.8</v>
      </c>
      <c r="E119" s="5" t="s">
        <v>700</v>
      </c>
      <c r="F119" s="9" t="n">
        <v>85.4</v>
      </c>
      <c r="G119" s="9"/>
      <c r="H119" s="10" t="n">
        <v>86800</v>
      </c>
      <c r="I119" s="9" t="n">
        <v>14.3</v>
      </c>
      <c r="J119" s="5"/>
      <c r="K119" s="9"/>
      <c r="L119" s="5" t="s">
        <v>526</v>
      </c>
      <c r="M119" s="5" t="s">
        <v>949</v>
      </c>
      <c r="N119" s="5"/>
      <c r="O119" s="13" t="n">
        <f aca="false">IF(AND(TRUE(),ISNUMBER(D119),ISNUMBER(D118)),(D119-D118)*100,"")</f>
        <v>-170</v>
      </c>
      <c r="P119" s="13" t="n">
        <f aca="false">IF(AND(ISNUMBER(F119),ISNUMBER(F118)),F119-F118,"")</f>
        <v>-2.3</v>
      </c>
      <c r="Q119" s="8" t="n">
        <f aca="false">IF(COUNTIFS(Wage_Hikes!$A:$A,A119,Wage_Hikes!$D:$D,B119)&gt;0,1,0)</f>
        <v>0</v>
      </c>
      <c r="R119" s="12" t="n">
        <f aca="false">IFERROR(AVERAGEIFS(FX_USDINR!$B:$B,FX_USDINR!$C:$C,B119),"")</f>
        <v>84.4354</v>
      </c>
      <c r="S119" s="5" t="n">
        <v>0</v>
      </c>
    </row>
    <row r="120" customFormat="false" ht="15" hidden="false" customHeight="false" outlineLevel="0" collapsed="false">
      <c r="A120" s="5" t="s">
        <v>948</v>
      </c>
      <c r="B120" s="5" t="s">
        <v>128</v>
      </c>
      <c r="C120" s="5" t="s">
        <v>864</v>
      </c>
      <c r="D120" s="9" t="n">
        <v>13.8</v>
      </c>
      <c r="E120" s="5" t="s">
        <v>700</v>
      </c>
      <c r="F120" s="9" t="n">
        <v>85.8</v>
      </c>
      <c r="G120" s="9"/>
      <c r="H120" s="10" t="n">
        <v>84307</v>
      </c>
      <c r="I120" s="9" t="n">
        <v>14.4</v>
      </c>
      <c r="J120" s="5"/>
      <c r="K120" s="9"/>
      <c r="L120" s="5" t="s">
        <v>957</v>
      </c>
      <c r="M120" s="5" t="s">
        <v>949</v>
      </c>
      <c r="N120" s="5"/>
      <c r="O120" s="13" t="n">
        <f aca="false">IF(AND(TRUE(),ISNUMBER(D120),ISNUMBER(D119)),(D120-D119)*100,"")</f>
        <v>0</v>
      </c>
      <c r="P120" s="13" t="n">
        <f aca="false">IF(AND(ISNUMBER(F120),ISNUMBER(F119)),F120-F119,"")</f>
        <v>0.399999999999992</v>
      </c>
      <c r="Q120" s="8" t="n">
        <f aca="false">IF(COUNTIFS(Wage_Hikes!$A:$A,A120,Wage_Hikes!$D:$D,B120)&gt;0,1,0)</f>
        <v>0</v>
      </c>
      <c r="R120" s="12" t="n">
        <f aca="false">IFERROR(AVERAGEIFS(FX_USDINR!$B:$B,FX_USDINR!$C:$C,B120),"")</f>
        <v>86.6167666666667</v>
      </c>
      <c r="S120" s="5" t="n">
        <v>0</v>
      </c>
    </row>
    <row r="121" customFormat="false" ht="15" hidden="false" customHeight="false" outlineLevel="0" collapsed="false">
      <c r="A121" s="5" t="s">
        <v>948</v>
      </c>
      <c r="B121" s="5" t="s">
        <v>154</v>
      </c>
      <c r="C121" s="5" t="s">
        <v>865</v>
      </c>
      <c r="D121" s="9" t="n">
        <v>14.3</v>
      </c>
      <c r="E121" s="5" t="s">
        <v>700</v>
      </c>
      <c r="F121" s="9" t="n">
        <v>88.1</v>
      </c>
      <c r="G121" s="9"/>
      <c r="H121" s="10" t="n">
        <v>83889</v>
      </c>
      <c r="I121" s="9" t="n">
        <v>14.4</v>
      </c>
      <c r="J121" s="5"/>
      <c r="K121" s="9"/>
      <c r="L121" s="5" t="s">
        <v>960</v>
      </c>
      <c r="M121" s="5" t="s">
        <v>949</v>
      </c>
      <c r="N121" s="5"/>
      <c r="O121" s="13" t="n">
        <f aca="false">IF(AND(TRUE(),ISNUMBER(D121),ISNUMBER(D120)),(D121-D120)*100,"")</f>
        <v>50</v>
      </c>
      <c r="P121" s="13" t="n">
        <f aca="false">IF(AND(ISNUMBER(F121),ISNUMBER(F120)),F121-F120,"")</f>
        <v>2.3</v>
      </c>
      <c r="Q121" s="8" t="n">
        <f aca="false">IF(COUNTIFS(Wage_Hikes!$A:$A,A121,Wage_Hikes!$D:$D,B121)&gt;0,1,0)</f>
        <v>0</v>
      </c>
      <c r="R121" s="12" t="n">
        <f aca="false">IFERROR(AVERAGEIFS(FX_USDINR!$B:$B,FX_USDINR!$C:$C,B121),"")</f>
        <v>85.5665</v>
      </c>
      <c r="S121" s="5" t="n">
        <v>0</v>
      </c>
    </row>
    <row r="122" customFormat="false" ht="15" hidden="false" customHeight="false" outlineLevel="0" collapsed="false">
      <c r="A122" s="5" t="s">
        <v>948</v>
      </c>
      <c r="B122" s="5" t="s">
        <v>506</v>
      </c>
      <c r="C122" s="5" t="s">
        <v>866</v>
      </c>
      <c r="D122" s="9" t="n">
        <v>15.9</v>
      </c>
      <c r="E122" s="5" t="s">
        <v>700</v>
      </c>
      <c r="F122" s="9" t="n">
        <v>88.1</v>
      </c>
      <c r="G122" s="9"/>
      <c r="H122" s="10" t="n">
        <v>86447</v>
      </c>
      <c r="I122" s="9" t="n">
        <v>14.2</v>
      </c>
      <c r="J122" s="5"/>
      <c r="K122" s="9"/>
      <c r="L122" s="5" t="s">
        <v>959</v>
      </c>
      <c r="M122" s="5" t="s">
        <v>949</v>
      </c>
      <c r="N122" s="5"/>
      <c r="O122" s="13" t="n">
        <f aca="false">IF(AND(TRUE(),ISNUMBER(D122),ISNUMBER(D121)),(D122-D121)*100,"")</f>
        <v>160</v>
      </c>
      <c r="P122" s="13" t="n">
        <f aca="false">IF(AND(ISNUMBER(F122),ISNUMBER(F121)),F122-F121,"")</f>
        <v>0</v>
      </c>
      <c r="Q122" s="8" t="n">
        <f aca="false">IF(COUNTIFS(Wage_Hikes!$A:$A,A122,Wage_Hikes!$D:$D,B122)&gt;0,1,0)</f>
        <v>0</v>
      </c>
      <c r="R122" s="12" t="n">
        <f aca="false">IFERROR(AVERAGEIFS(FX_USDINR!$B:$B,FX_USDINR!$C:$C,B122),"")</f>
        <v>87.3541</v>
      </c>
      <c r="S122" s="5" t="n">
        <v>0</v>
      </c>
    </row>
    <row r="123" customFormat="false" ht="23.85" hidden="false" customHeight="false" outlineLevel="0" collapsed="false">
      <c r="A123" s="5" t="s">
        <v>948</v>
      </c>
      <c r="B123" s="5" t="s">
        <v>372</v>
      </c>
      <c r="C123" s="5" t="s">
        <v>869</v>
      </c>
      <c r="D123" s="9" t="n">
        <v>15.1</v>
      </c>
      <c r="E123" s="5" t="s">
        <v>700</v>
      </c>
      <c r="F123" s="9"/>
      <c r="G123" s="9"/>
      <c r="H123" s="10"/>
      <c r="I123" s="9"/>
      <c r="J123" s="5"/>
      <c r="K123" s="9"/>
      <c r="L123" s="5" t="s">
        <v>532</v>
      </c>
      <c r="M123" s="5" t="s">
        <v>961</v>
      </c>
      <c r="N123" s="6" t="s">
        <v>962</v>
      </c>
      <c r="O123" s="11"/>
      <c r="P123" s="11"/>
      <c r="Q123" s="8" t="n">
        <f aca="false">IF(COUNTIFS(Wage_Hikes!$A:$A,A123,Wage_Hikes!$D:$D,B123)&gt;0,1,0)</f>
        <v>0</v>
      </c>
      <c r="R123" s="12" t="n">
        <f aca="false">IFERROR(AVERAGEIFS(FX_USDINR!$B:$B,FX_USDINR!$C:$C,B123),"")</f>
        <v>91.4888333333333</v>
      </c>
      <c r="S123" s="5" t="n">
        <v>0</v>
      </c>
    </row>
    <row r="124" customFormat="false" ht="15" hidden="false" customHeight="false" outlineLevel="0" collapsed="false">
      <c r="A124" s="5" t="s">
        <v>948</v>
      </c>
      <c r="B124" s="5" t="s">
        <v>120</v>
      </c>
      <c r="C124" s="5" t="s">
        <v>870</v>
      </c>
      <c r="D124" s="9" t="n">
        <v>15.5</v>
      </c>
      <c r="E124" s="5" t="s">
        <v>700</v>
      </c>
      <c r="F124" s="9"/>
      <c r="G124" s="9"/>
      <c r="H124" s="10"/>
      <c r="I124" s="9" t="n">
        <v>13.3</v>
      </c>
      <c r="J124" s="5"/>
      <c r="K124" s="9"/>
      <c r="L124" s="5" t="s">
        <v>963</v>
      </c>
      <c r="M124" s="5" t="s">
        <v>961</v>
      </c>
      <c r="N124" s="5" t="s">
        <v>964</v>
      </c>
      <c r="O124" s="13" t="n">
        <f aca="false">IF(AND(TRUE(),ISNUMBER(D124),ISNUMBER(D123)),(D124-D123)*100,"")</f>
        <v>40</v>
      </c>
      <c r="P124" s="13" t="str">
        <f aca="false">IF(AND(ISNUMBER(F124),ISNUMBER(F123)),F124-F123,"")</f>
        <v/>
      </c>
      <c r="Q124" s="8" t="n">
        <f aca="false">IF(COUNTIFS(Wage_Hikes!$A:$A,A124,Wage_Hikes!$D:$D,B124)&gt;0,1,0)</f>
        <v>0</v>
      </c>
      <c r="R124" s="12" t="n">
        <f aca="false">IFERROR(AVERAGEIFS(FX_USDINR!$B:$B,FX_USDINR!$C:$C,B124),"")</f>
        <v>94.658</v>
      </c>
      <c r="S124" s="5" t="n">
        <v>0</v>
      </c>
    </row>
    <row r="125" customFormat="false" ht="15" hidden="false" customHeight="false" outlineLevel="0" collapsed="false">
      <c r="A125" s="5" t="s">
        <v>376</v>
      </c>
      <c r="B125" s="5" t="s">
        <v>665</v>
      </c>
      <c r="C125" s="5" t="s">
        <v>860</v>
      </c>
      <c r="D125" s="9" t="n">
        <v>7.4</v>
      </c>
      <c r="E125" s="5" t="s">
        <v>700</v>
      </c>
      <c r="F125" s="9" t="n">
        <v>86</v>
      </c>
      <c r="G125" s="9" t="n">
        <v>86</v>
      </c>
      <c r="H125" s="10" t="n">
        <v>145455</v>
      </c>
      <c r="I125" s="9" t="n">
        <v>10</v>
      </c>
      <c r="J125" s="5" t="n">
        <v>1548.2</v>
      </c>
      <c r="K125" s="9"/>
      <c r="L125" s="5" t="s">
        <v>375</v>
      </c>
      <c r="M125" s="5" t="s">
        <v>876</v>
      </c>
      <c r="N125" s="6" t="s">
        <v>965</v>
      </c>
      <c r="O125" s="11"/>
      <c r="P125" s="11"/>
      <c r="Q125" s="8" t="n">
        <f aca="false">IF(COUNTIFS(Wage_Hikes!$A:$A,A125,Wage_Hikes!$D:$D,B125)&gt;0,1,0)</f>
        <v>0</v>
      </c>
      <c r="R125" s="12" t="n">
        <f aca="false">IFERROR(AVERAGEIFS(FX_USDINR!$B:$B,FX_USDINR!$C:$C,B125),"")</f>
        <v>83.0272666666667</v>
      </c>
      <c r="S125" s="5" t="n">
        <v>0</v>
      </c>
    </row>
    <row r="126" customFormat="false" ht="15" hidden="false" customHeight="false" outlineLevel="0" collapsed="false">
      <c r="A126" s="5" t="s">
        <v>376</v>
      </c>
      <c r="B126" s="5" t="s">
        <v>668</v>
      </c>
      <c r="C126" s="5" t="s">
        <v>861</v>
      </c>
      <c r="D126" s="9" t="n">
        <v>8.5</v>
      </c>
      <c r="E126" s="5" t="s">
        <v>700</v>
      </c>
      <c r="F126" s="9" t="n">
        <v>86.1</v>
      </c>
      <c r="G126" s="9"/>
      <c r="H126" s="10" t="n">
        <v>147600</v>
      </c>
      <c r="I126" s="9" t="n">
        <v>10.1</v>
      </c>
      <c r="J126" s="5"/>
      <c r="K126" s="9"/>
      <c r="L126" s="5" t="s">
        <v>519</v>
      </c>
      <c r="M126" s="5" t="s">
        <v>949</v>
      </c>
      <c r="N126" s="5" t="s">
        <v>966</v>
      </c>
      <c r="O126" s="13" t="n">
        <f aca="false">IF(AND(TRUE(),ISNUMBER(D126),ISNUMBER(D125)),(D126-D125)*100,"")</f>
        <v>110</v>
      </c>
      <c r="P126" s="13" t="n">
        <f aca="false">IF(AND(ISNUMBER(F126),ISNUMBER(F125)),F126-F125,"")</f>
        <v>0.0999999999999943</v>
      </c>
      <c r="Q126" s="8" t="n">
        <f aca="false">IF(COUNTIFS(Wage_Hikes!$A:$A,A126,Wage_Hikes!$D:$D,B126)&gt;0,1,0)</f>
        <v>0</v>
      </c>
      <c r="R126" s="12" t="n">
        <f aca="false">IFERROR(AVERAGEIFS(FX_USDINR!$B:$B,FX_USDINR!$C:$C,B126),"")</f>
        <v>83.4147</v>
      </c>
      <c r="S126" s="5" t="n">
        <v>0</v>
      </c>
    </row>
    <row r="127" customFormat="false" ht="15" hidden="false" customHeight="false" outlineLevel="0" collapsed="false">
      <c r="A127" s="5" t="s">
        <v>376</v>
      </c>
      <c r="B127" s="5" t="s">
        <v>148</v>
      </c>
      <c r="C127" s="5" t="s">
        <v>862</v>
      </c>
      <c r="D127" s="9" t="n">
        <v>9.6</v>
      </c>
      <c r="E127" s="5" t="s">
        <v>700</v>
      </c>
      <c r="F127" s="9" t="n">
        <v>86.3</v>
      </c>
      <c r="G127" s="9"/>
      <c r="H127" s="10" t="n">
        <v>154300</v>
      </c>
      <c r="I127" s="9" t="n">
        <v>10.6</v>
      </c>
      <c r="J127" s="5"/>
      <c r="K127" s="9"/>
      <c r="L127" s="5" t="s">
        <v>967</v>
      </c>
      <c r="M127" s="5" t="s">
        <v>949</v>
      </c>
      <c r="N127" s="5" t="s">
        <v>968</v>
      </c>
      <c r="O127" s="13" t="n">
        <f aca="false">IF(AND(TRUE(),ISNUMBER(D127),ISNUMBER(D126)),(D127-D126)*100,"")</f>
        <v>110</v>
      </c>
      <c r="P127" s="13" t="n">
        <f aca="false">IF(AND(ISNUMBER(F127),ISNUMBER(F126)),F127-F126,"")</f>
        <v>0.200000000000003</v>
      </c>
      <c r="Q127" s="8" t="n">
        <f aca="false">IF(COUNTIFS(Wage_Hikes!$A:$A,A127,Wage_Hikes!$D:$D,B127)&gt;0,1,0)</f>
        <v>0</v>
      </c>
      <c r="R127" s="12" t="n">
        <f aca="false">IFERROR(AVERAGEIFS(FX_USDINR!$B:$B,FX_USDINR!$C:$C,B127),"")</f>
        <v>83.7553333333333</v>
      </c>
      <c r="S127" s="5" t="n">
        <v>0</v>
      </c>
    </row>
    <row r="128" customFormat="false" ht="15" hidden="false" customHeight="false" outlineLevel="0" collapsed="false">
      <c r="A128" s="5" t="s">
        <v>376</v>
      </c>
      <c r="B128" s="5" t="s">
        <v>143</v>
      </c>
      <c r="C128" s="5" t="s">
        <v>863</v>
      </c>
      <c r="D128" s="9" t="n">
        <v>10.2</v>
      </c>
      <c r="E128" s="5" t="s">
        <v>700</v>
      </c>
      <c r="F128" s="9" t="n">
        <v>85.6</v>
      </c>
      <c r="G128" s="9"/>
      <c r="H128" s="10" t="n">
        <v>150488</v>
      </c>
      <c r="I128" s="9" t="n">
        <v>11.2</v>
      </c>
      <c r="J128" s="5" t="n">
        <v>1567.5</v>
      </c>
      <c r="K128" s="9"/>
      <c r="L128" s="5" t="s">
        <v>969</v>
      </c>
      <c r="M128" s="5" t="s">
        <v>952</v>
      </c>
      <c r="N128" s="5"/>
      <c r="O128" s="13" t="n">
        <f aca="false">IF(AND(TRUE(),ISNUMBER(D128),ISNUMBER(D127)),(D128-D127)*100,"")</f>
        <v>60</v>
      </c>
      <c r="P128" s="13" t="n">
        <f aca="false">IF(AND(ISNUMBER(F128),ISNUMBER(F127)),F128-F127,"")</f>
        <v>-0.700000000000003</v>
      </c>
      <c r="Q128" s="8" t="n">
        <f aca="false">IF(COUNTIFS(Wage_Hikes!$A:$A,A128,Wage_Hikes!$D:$D,B128)&gt;0,1,0)</f>
        <v>0</v>
      </c>
      <c r="R128" s="12" t="n">
        <f aca="false">IFERROR(AVERAGEIFS(FX_USDINR!$B:$B,FX_USDINR!$C:$C,B128),"")</f>
        <v>84.4354</v>
      </c>
      <c r="S128" s="5" t="n">
        <v>0</v>
      </c>
    </row>
    <row r="129" customFormat="false" ht="15" hidden="false" customHeight="false" outlineLevel="0" collapsed="false">
      <c r="A129" s="5" t="s">
        <v>376</v>
      </c>
      <c r="B129" s="5" t="s">
        <v>128</v>
      </c>
      <c r="C129" s="5" t="s">
        <v>864</v>
      </c>
      <c r="D129" s="9" t="n">
        <v>10.5</v>
      </c>
      <c r="E129" s="5" t="s">
        <v>700</v>
      </c>
      <c r="F129" s="9" t="n">
        <v>86.4</v>
      </c>
      <c r="G129" s="9"/>
      <c r="H129" s="10" t="n">
        <v>148731</v>
      </c>
      <c r="I129" s="9" t="n">
        <v>11.8</v>
      </c>
      <c r="J129" s="5" t="n">
        <v>1548.8</v>
      </c>
      <c r="K129" s="9"/>
      <c r="L129" s="5" t="s">
        <v>969</v>
      </c>
      <c r="M129" s="5" t="s">
        <v>876</v>
      </c>
      <c r="N129" s="5" t="s">
        <v>970</v>
      </c>
      <c r="O129" s="13" t="n">
        <f aca="false">IF(AND(TRUE(),ISNUMBER(D129),ISNUMBER(D128)),(D129-D128)*100,"")</f>
        <v>30.0000000000001</v>
      </c>
      <c r="P129" s="13" t="n">
        <f aca="false">IF(AND(ISNUMBER(F129),ISNUMBER(F128)),F129-F128,"")</f>
        <v>0.800000000000011</v>
      </c>
      <c r="Q129" s="8" t="n">
        <f aca="false">IF(COUNTIFS(Wage_Hikes!$A:$A,A129,Wage_Hikes!$D:$D,B129)&gt;0,1,0)</f>
        <v>0</v>
      </c>
      <c r="R129" s="12" t="n">
        <f aca="false">IFERROR(AVERAGEIFS(FX_USDINR!$B:$B,FX_USDINR!$C:$C,B129),"")</f>
        <v>86.6167666666667</v>
      </c>
      <c r="S129" s="5" t="n">
        <v>0</v>
      </c>
    </row>
    <row r="130" customFormat="false" ht="15" hidden="false" customHeight="false" outlineLevel="0" collapsed="false">
      <c r="A130" s="5" t="s">
        <v>376</v>
      </c>
      <c r="B130" s="5" t="s">
        <v>154</v>
      </c>
      <c r="C130" s="5" t="s">
        <v>865</v>
      </c>
      <c r="D130" s="9" t="n">
        <v>11.1</v>
      </c>
      <c r="E130" s="5" t="s">
        <v>700</v>
      </c>
      <c r="F130" s="9" t="n">
        <v>85</v>
      </c>
      <c r="G130" s="9"/>
      <c r="H130" s="10" t="n">
        <v>148500</v>
      </c>
      <c r="I130" s="9" t="n">
        <v>12</v>
      </c>
      <c r="J130" s="5" t="n">
        <v>1564</v>
      </c>
      <c r="K130" s="9"/>
      <c r="L130" s="5" t="s">
        <v>971</v>
      </c>
      <c r="M130" s="5" t="s">
        <v>952</v>
      </c>
      <c r="N130" s="6" t="s">
        <v>972</v>
      </c>
      <c r="O130" s="13" t="n">
        <f aca="false">IF(AND(TRUE(),ISNUMBER(D130),ISNUMBER(D129)),(D130-D129)*100,"")</f>
        <v>60</v>
      </c>
      <c r="P130" s="13" t="n">
        <f aca="false">IF(AND(ISNUMBER(F130),ISNUMBER(F129)),F130-F129,"")</f>
        <v>-1.40000000000001</v>
      </c>
      <c r="Q130" s="8" t="n">
        <f aca="false">IF(COUNTIFS(Wage_Hikes!$A:$A,A130,Wage_Hikes!$D:$D,B130)&gt;0,1,0)</f>
        <v>0</v>
      </c>
      <c r="R130" s="12" t="n">
        <f aca="false">IFERROR(AVERAGEIFS(FX_USDINR!$B:$B,FX_USDINR!$C:$C,B130),"")</f>
        <v>85.5665</v>
      </c>
      <c r="S130" s="5" t="n">
        <v>0</v>
      </c>
    </row>
    <row r="131" customFormat="false" ht="15" hidden="false" customHeight="false" outlineLevel="0" collapsed="false">
      <c r="A131" s="5" t="s">
        <v>376</v>
      </c>
      <c r="B131" s="5" t="s">
        <v>506</v>
      </c>
      <c r="C131" s="5" t="s">
        <v>866</v>
      </c>
      <c r="D131" s="9" t="n">
        <v>12.1</v>
      </c>
      <c r="E131" s="5" t="s">
        <v>700</v>
      </c>
      <c r="F131" s="9" t="n">
        <v>84.4</v>
      </c>
      <c r="G131" s="9"/>
      <c r="H131" s="10" t="n">
        <v>152714</v>
      </c>
      <c r="I131" s="9" t="n">
        <v>12.8</v>
      </c>
      <c r="J131" s="5" t="n">
        <v>1586</v>
      </c>
      <c r="K131" s="9"/>
      <c r="L131" s="5" t="s">
        <v>973</v>
      </c>
      <c r="M131" s="5" t="s">
        <v>952</v>
      </c>
      <c r="N131" s="5" t="s">
        <v>974</v>
      </c>
      <c r="O131" s="13" t="n">
        <f aca="false">IF(AND(TRUE(),ISNUMBER(D131),ISNUMBER(D130)),(D131-D130)*100,"")</f>
        <v>100</v>
      </c>
      <c r="P131" s="13" t="n">
        <f aca="false">IF(AND(ISNUMBER(F131),ISNUMBER(F130)),F131-F130,"")</f>
        <v>-0.599999999999994</v>
      </c>
      <c r="Q131" s="8" t="n">
        <f aca="false">IF(COUNTIFS(Wage_Hikes!$A:$A,A131,Wage_Hikes!$D:$D,B131)&gt;0,1,0)</f>
        <v>0</v>
      </c>
      <c r="R131" s="12" t="n">
        <f aca="false">IFERROR(AVERAGEIFS(FX_USDINR!$B:$B,FX_USDINR!$C:$C,B131),"")</f>
        <v>87.3541</v>
      </c>
      <c r="S131" s="5" t="n">
        <v>0</v>
      </c>
    </row>
    <row r="132" customFormat="false" ht="15" hidden="false" customHeight="false" outlineLevel="0" collapsed="false">
      <c r="A132" s="5" t="s">
        <v>376</v>
      </c>
      <c r="B132" s="5" t="s">
        <v>632</v>
      </c>
      <c r="C132" s="5" t="s">
        <v>868</v>
      </c>
      <c r="D132" s="9" t="n">
        <v>13.1</v>
      </c>
      <c r="E132" s="5" t="s">
        <v>700</v>
      </c>
      <c r="F132" s="9" t="n">
        <v>86.6</v>
      </c>
      <c r="G132" s="9"/>
      <c r="H132" s="10" t="n">
        <v>149616</v>
      </c>
      <c r="I132" s="9" t="n">
        <v>12.3</v>
      </c>
      <c r="J132" s="5" t="n">
        <v>1610</v>
      </c>
      <c r="K132" s="9"/>
      <c r="L132" s="5" t="s">
        <v>975</v>
      </c>
      <c r="M132" s="5" t="s">
        <v>952</v>
      </c>
      <c r="N132" s="5"/>
      <c r="O132" s="13" t="n">
        <f aca="false">IF(AND(TRUE(),ISNUMBER(D132),ISNUMBER(D131)),(D132-D131)*100,"")</f>
        <v>100</v>
      </c>
      <c r="P132" s="13" t="n">
        <f aca="false">IF(AND(ISNUMBER(F132),ISNUMBER(F131)),F132-F131,"")</f>
        <v>2.19999999999999</v>
      </c>
      <c r="Q132" s="8" t="n">
        <f aca="false">IF(COUNTIFS(Wage_Hikes!$A:$A,A132,Wage_Hikes!$D:$D,B132)&gt;0,1,0)</f>
        <v>0</v>
      </c>
      <c r="R132" s="12" t="n">
        <f aca="false">IFERROR(AVERAGEIFS(FX_USDINR!$B:$B,FX_USDINR!$C:$C,B132),"")</f>
        <v>89.0828333333333</v>
      </c>
      <c r="S132" s="5" t="n">
        <v>0</v>
      </c>
    </row>
    <row r="133" customFormat="false" ht="15" hidden="false" customHeight="false" outlineLevel="0" collapsed="false">
      <c r="A133" s="5" t="s">
        <v>376</v>
      </c>
      <c r="B133" s="5" t="s">
        <v>372</v>
      </c>
      <c r="C133" s="5" t="s">
        <v>869</v>
      </c>
      <c r="D133" s="9" t="n">
        <v>13.8</v>
      </c>
      <c r="E133" s="5" t="s">
        <v>700</v>
      </c>
      <c r="F133" s="9" t="n">
        <v>86.1</v>
      </c>
      <c r="G133" s="9"/>
      <c r="H133" s="10" t="n">
        <v>147600</v>
      </c>
      <c r="I133" s="9" t="n">
        <v>12.1</v>
      </c>
      <c r="J133" s="5"/>
      <c r="K133" s="9"/>
      <c r="L133" s="5" t="s">
        <v>519</v>
      </c>
      <c r="M133" s="5" t="s">
        <v>949</v>
      </c>
      <c r="N133" s="5"/>
      <c r="O133" s="13" t="n">
        <f aca="false">IF(AND(TRUE(),ISNUMBER(D133),ISNUMBER(D132)),(D133-D132)*100,"")</f>
        <v>70.0000000000001</v>
      </c>
      <c r="P133" s="13" t="n">
        <f aca="false">IF(AND(ISNUMBER(F133),ISNUMBER(F132)),F133-F132,"")</f>
        <v>-0.5</v>
      </c>
      <c r="Q133" s="8" t="n">
        <f aca="false">IF(COUNTIFS(Wage_Hikes!$A:$A,A133,Wage_Hikes!$D:$D,B133)&gt;0,1,0)</f>
        <v>0</v>
      </c>
      <c r="R133" s="12" t="n">
        <f aca="false">IFERROR(AVERAGEIFS(FX_USDINR!$B:$B,FX_USDINR!$C:$C,B133),"")</f>
        <v>91.4888333333333</v>
      </c>
      <c r="S133" s="5" t="n">
        <v>0</v>
      </c>
    </row>
    <row r="134" customFormat="false" ht="15" hidden="false" customHeight="false" outlineLevel="0" collapsed="false">
      <c r="A134" s="5" t="s">
        <v>376</v>
      </c>
      <c r="B134" s="5" t="s">
        <v>120</v>
      </c>
      <c r="C134" s="5" t="s">
        <v>870</v>
      </c>
      <c r="D134" s="9" t="n">
        <v>14.4</v>
      </c>
      <c r="E134" s="5" t="s">
        <v>700</v>
      </c>
      <c r="F134" s="9" t="n">
        <v>87</v>
      </c>
      <c r="G134" s="9"/>
      <c r="H134" s="10" t="n">
        <v>146800</v>
      </c>
      <c r="I134" s="9" t="n">
        <v>11.8</v>
      </c>
      <c r="J134" s="5"/>
      <c r="K134" s="9"/>
      <c r="L134" s="5" t="s">
        <v>976</v>
      </c>
      <c r="M134" s="5" t="s">
        <v>949</v>
      </c>
      <c r="N134" s="5" t="s">
        <v>977</v>
      </c>
      <c r="O134" s="13" t="n">
        <f aca="false">IF(AND(TRUE(),ISNUMBER(D134),ISNUMBER(D133)),(D134-D133)*100,"")</f>
        <v>60</v>
      </c>
      <c r="P134" s="13" t="n">
        <f aca="false">IF(AND(ISNUMBER(F134),ISNUMBER(F133)),F134-F133,"")</f>
        <v>0.900000000000006</v>
      </c>
      <c r="Q134" s="8" t="n">
        <f aca="false">IF(COUNTIFS(Wage_Hikes!$A:$A,A134,Wage_Hikes!$D:$D,B134)&gt;0,1,0)</f>
        <v>0</v>
      </c>
      <c r="R134" s="12" t="n">
        <f aca="false">IFERROR(AVERAGEIFS(FX_USDINR!$B:$B,FX_USDINR!$C:$C,B134),"")</f>
        <v>94.658</v>
      </c>
      <c r="S134" s="5" t="n">
        <v>0</v>
      </c>
    </row>
    <row r="135" customFormat="false" ht="15" hidden="false" customHeight="false" outlineLevel="0" collapsed="false">
      <c r="A135" s="5" t="s">
        <v>376</v>
      </c>
      <c r="B135" s="5" t="s">
        <v>223</v>
      </c>
      <c r="C135" s="5" t="s">
        <v>871</v>
      </c>
      <c r="D135" s="9" t="n">
        <v>14.8</v>
      </c>
      <c r="E135" s="5" t="s">
        <v>700</v>
      </c>
      <c r="F135" s="9"/>
      <c r="G135" s="9"/>
      <c r="H135" s="10" t="n">
        <v>152206</v>
      </c>
      <c r="I135" s="9" t="n">
        <v>11.7</v>
      </c>
      <c r="J135" s="5"/>
      <c r="K135" s="9"/>
      <c r="L135" s="5" t="s">
        <v>204</v>
      </c>
      <c r="M135" s="5" t="s">
        <v>978</v>
      </c>
      <c r="N135" s="5" t="s">
        <v>979</v>
      </c>
      <c r="O135" s="13" t="n">
        <f aca="false">IF(AND(TRUE(),ISNUMBER(D135),ISNUMBER(D134)),(D135-D134)*100,"")</f>
        <v>40</v>
      </c>
      <c r="P135" s="13" t="str">
        <f aca="false">IF(AND(ISNUMBER(F135),ISNUMBER(F134)),F135-F134,"")</f>
        <v/>
      </c>
      <c r="Q135" s="8" t="n">
        <f aca="false">IF(COUNTIFS(Wage_Hikes!$A:$A,A135,Wage_Hikes!$D:$D,B135)&gt;0,1,0)</f>
        <v>0</v>
      </c>
      <c r="R135" s="12" t="n">
        <f aca="false">IFERROR(AVERAGEIFS(FX_USDINR!$B:$B,FX_USDINR!$C:$C,B135),"")</f>
        <v>95.6046666666667</v>
      </c>
      <c r="S135" s="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4" min="3" style="0" width="12"/>
    <col collapsed="false" customWidth="true" hidden="false" outlineLevel="0" max="5" min="5" style="0" width="34"/>
    <col collapsed="false" customWidth="true" hidden="false" outlineLevel="0" max="6" min="6" style="0" width="14"/>
    <col collapsed="false" customWidth="true" hidden="false" outlineLevel="0" max="7" min="7" style="0" width="60"/>
  </cols>
  <sheetData>
    <row r="1" customFormat="false" ht="15" hidden="false" customHeight="false" outlineLevel="0" collapsed="false">
      <c r="A1" s="14" t="s">
        <v>980</v>
      </c>
    </row>
    <row r="3" customFormat="false" ht="35.05" hidden="false" customHeight="false" outlineLevel="0" collapsed="false">
      <c r="A3" s="4" t="s">
        <v>769</v>
      </c>
      <c r="B3" s="4" t="s">
        <v>981</v>
      </c>
      <c r="C3" s="4" t="s">
        <v>982</v>
      </c>
      <c r="D3" s="4" t="s">
        <v>983</v>
      </c>
      <c r="E3" s="4" t="s">
        <v>984</v>
      </c>
      <c r="F3" s="4" t="s">
        <v>27</v>
      </c>
      <c r="G3" s="4" t="s">
        <v>772</v>
      </c>
    </row>
    <row r="4" customFormat="false" ht="15" hidden="false" customHeight="false" outlineLevel="0" collapsed="false">
      <c r="A4" s="5" t="s">
        <v>778</v>
      </c>
      <c r="B4" s="5" t="s">
        <v>623</v>
      </c>
      <c r="C4" s="5" t="s">
        <v>985</v>
      </c>
      <c r="D4" s="5" t="s">
        <v>839</v>
      </c>
      <c r="E4" s="5" t="s">
        <v>986</v>
      </c>
      <c r="F4" s="5" t="s">
        <v>576</v>
      </c>
      <c r="G4" s="6" t="s">
        <v>987</v>
      </c>
    </row>
    <row r="5" customFormat="false" ht="15" hidden="false" customHeight="false" outlineLevel="0" collapsed="false">
      <c r="A5" s="5" t="s">
        <v>778</v>
      </c>
      <c r="B5" s="5" t="s">
        <v>988</v>
      </c>
      <c r="C5" s="5" t="s">
        <v>989</v>
      </c>
      <c r="D5" s="5" t="s">
        <v>841</v>
      </c>
      <c r="E5" s="5" t="s">
        <v>990</v>
      </c>
      <c r="F5" s="5" t="s">
        <v>576</v>
      </c>
      <c r="G5" s="5"/>
    </row>
    <row r="6" customFormat="false" ht="23.85" hidden="false" customHeight="false" outlineLevel="0" collapsed="false">
      <c r="A6" s="5" t="s">
        <v>778</v>
      </c>
      <c r="B6" s="5" t="s">
        <v>988</v>
      </c>
      <c r="C6" s="5" t="s">
        <v>991</v>
      </c>
      <c r="D6" s="5" t="s">
        <v>844</v>
      </c>
      <c r="E6" s="6" t="s">
        <v>992</v>
      </c>
      <c r="F6" s="5" t="s">
        <v>576</v>
      </c>
      <c r="G6" s="5" t="s">
        <v>993</v>
      </c>
    </row>
    <row r="7" customFormat="false" ht="23.85" hidden="false" customHeight="false" outlineLevel="0" collapsed="false">
      <c r="A7" s="5" t="s">
        <v>778</v>
      </c>
      <c r="B7" s="5" t="s">
        <v>573</v>
      </c>
      <c r="C7" s="5" t="s">
        <v>994</v>
      </c>
      <c r="D7" s="5" t="s">
        <v>650</v>
      </c>
      <c r="E7" s="5" t="s">
        <v>995</v>
      </c>
      <c r="F7" s="5" t="s">
        <v>569</v>
      </c>
      <c r="G7" s="6" t="s">
        <v>996</v>
      </c>
    </row>
    <row r="8" customFormat="false" ht="15" hidden="false" customHeight="false" outlineLevel="0" collapsed="false">
      <c r="A8" s="5" t="s">
        <v>778</v>
      </c>
      <c r="B8" s="5" t="s">
        <v>563</v>
      </c>
      <c r="C8" s="5" t="s">
        <v>997</v>
      </c>
      <c r="D8" s="5" t="s">
        <v>858</v>
      </c>
      <c r="E8" s="5" t="s">
        <v>998</v>
      </c>
      <c r="F8" s="5" t="s">
        <v>559</v>
      </c>
      <c r="G8" s="5" t="s">
        <v>999</v>
      </c>
    </row>
    <row r="9" customFormat="false" ht="15" hidden="false" customHeight="false" outlineLevel="0" collapsed="false">
      <c r="A9" s="5" t="s">
        <v>778</v>
      </c>
      <c r="B9" s="5" t="s">
        <v>557</v>
      </c>
      <c r="C9" s="5" t="s">
        <v>1000</v>
      </c>
      <c r="D9" s="5" t="s">
        <v>148</v>
      </c>
      <c r="E9" s="5" t="s">
        <v>998</v>
      </c>
      <c r="F9" s="5" t="s">
        <v>553</v>
      </c>
      <c r="G9" s="5"/>
    </row>
    <row r="10" customFormat="false" ht="15" hidden="false" customHeight="false" outlineLevel="0" collapsed="false">
      <c r="A10" s="5" t="s">
        <v>778</v>
      </c>
      <c r="B10" s="5" t="s">
        <v>567</v>
      </c>
      <c r="C10" s="5" t="s">
        <v>1001</v>
      </c>
      <c r="D10" s="5" t="s">
        <v>372</v>
      </c>
      <c r="E10" s="6" t="s">
        <v>1002</v>
      </c>
      <c r="F10" s="5" t="s">
        <v>564</v>
      </c>
      <c r="G10" s="6" t="s">
        <v>1003</v>
      </c>
    </row>
    <row r="11" customFormat="false" ht="15" hidden="false" customHeight="false" outlineLevel="0" collapsed="false">
      <c r="A11" s="5" t="s">
        <v>874</v>
      </c>
      <c r="B11" s="5" t="s">
        <v>623</v>
      </c>
      <c r="C11" s="5" t="s">
        <v>985</v>
      </c>
      <c r="D11" s="5" t="s">
        <v>839</v>
      </c>
      <c r="E11" s="5" t="s">
        <v>1004</v>
      </c>
      <c r="F11" s="5" t="s">
        <v>620</v>
      </c>
      <c r="G11" s="5"/>
    </row>
    <row r="12" customFormat="false" ht="23.85" hidden="false" customHeight="false" outlineLevel="0" collapsed="false">
      <c r="A12" s="5" t="s">
        <v>874</v>
      </c>
      <c r="B12" s="5" t="s">
        <v>573</v>
      </c>
      <c r="C12" s="5" t="s">
        <v>1005</v>
      </c>
      <c r="D12" s="5" t="s">
        <v>133</v>
      </c>
      <c r="E12" s="5" t="s">
        <v>995</v>
      </c>
      <c r="F12" s="5" t="s">
        <v>130</v>
      </c>
      <c r="G12" s="6" t="s">
        <v>1006</v>
      </c>
    </row>
    <row r="13" customFormat="false" ht="15" hidden="false" customHeight="false" outlineLevel="0" collapsed="false">
      <c r="A13" s="5" t="s">
        <v>874</v>
      </c>
      <c r="B13" s="5" t="s">
        <v>563</v>
      </c>
      <c r="C13" s="5" t="s">
        <v>1007</v>
      </c>
      <c r="D13" s="5" t="s">
        <v>858</v>
      </c>
      <c r="E13" s="5" t="s">
        <v>995</v>
      </c>
      <c r="F13" s="5" t="s">
        <v>614</v>
      </c>
      <c r="G13" s="6" t="s">
        <v>1008</v>
      </c>
    </row>
    <row r="14" customFormat="false" ht="15" hidden="false" customHeight="false" outlineLevel="0" collapsed="false">
      <c r="A14" s="5" t="s">
        <v>874</v>
      </c>
      <c r="B14" s="5" t="s">
        <v>557</v>
      </c>
      <c r="C14" s="5" t="s">
        <v>1009</v>
      </c>
      <c r="D14" s="5" t="s">
        <v>128</v>
      </c>
      <c r="E14" s="5" t="s">
        <v>1010</v>
      </c>
      <c r="F14" s="5" t="s">
        <v>1011</v>
      </c>
      <c r="G14" s="5"/>
    </row>
    <row r="15" customFormat="false" ht="15" hidden="false" customHeight="false" outlineLevel="0" collapsed="false">
      <c r="A15" s="5" t="s">
        <v>874</v>
      </c>
      <c r="B15" s="5" t="s">
        <v>557</v>
      </c>
      <c r="C15" s="5" t="s">
        <v>1012</v>
      </c>
      <c r="D15" s="5" t="s">
        <v>154</v>
      </c>
      <c r="E15" s="5" t="s">
        <v>1013</v>
      </c>
      <c r="F15" s="5" t="s">
        <v>608</v>
      </c>
      <c r="G15" s="6" t="s">
        <v>1014</v>
      </c>
    </row>
    <row r="16" customFormat="false" ht="15" hidden="false" customHeight="false" outlineLevel="0" collapsed="false">
      <c r="A16" s="5" t="s">
        <v>874</v>
      </c>
      <c r="B16" s="5" t="s">
        <v>592</v>
      </c>
      <c r="C16" s="5" t="s">
        <v>1015</v>
      </c>
      <c r="D16" s="5" t="s">
        <v>1016</v>
      </c>
      <c r="E16" s="5" t="s">
        <v>1017</v>
      </c>
      <c r="F16" s="5" t="s">
        <v>602</v>
      </c>
      <c r="G16" s="5" t="s">
        <v>1018</v>
      </c>
    </row>
    <row r="17" customFormat="false" ht="15" hidden="false" customHeight="false" outlineLevel="0" collapsed="false">
      <c r="A17" s="5" t="s">
        <v>874</v>
      </c>
      <c r="B17" s="5" t="s">
        <v>592</v>
      </c>
      <c r="C17" s="5" t="s">
        <v>1019</v>
      </c>
      <c r="D17" s="5" t="s">
        <v>1020</v>
      </c>
      <c r="E17" s="5" t="s">
        <v>1021</v>
      </c>
      <c r="F17" s="5" t="s">
        <v>602</v>
      </c>
      <c r="G17" s="5" t="s">
        <v>1018</v>
      </c>
    </row>
    <row r="18" customFormat="false" ht="15" hidden="false" customHeight="false" outlineLevel="0" collapsed="false">
      <c r="A18" s="5" t="s">
        <v>905</v>
      </c>
      <c r="B18" s="5" t="s">
        <v>557</v>
      </c>
      <c r="C18" s="5" t="s">
        <v>1022</v>
      </c>
      <c r="D18" s="5" t="s">
        <v>668</v>
      </c>
      <c r="E18" s="5" t="s">
        <v>995</v>
      </c>
      <c r="F18" s="5" t="s">
        <v>594</v>
      </c>
      <c r="G18" s="5"/>
    </row>
    <row r="19" customFormat="false" ht="15" hidden="false" customHeight="false" outlineLevel="0" collapsed="false">
      <c r="A19" s="5" t="s">
        <v>905</v>
      </c>
      <c r="B19" s="5" t="s">
        <v>567</v>
      </c>
      <c r="C19" s="5" t="s">
        <v>1023</v>
      </c>
      <c r="D19" s="5" t="s">
        <v>506</v>
      </c>
      <c r="E19" s="5" t="s">
        <v>1024</v>
      </c>
      <c r="F19" s="5" t="s">
        <v>1025</v>
      </c>
      <c r="G19" s="6" t="s">
        <v>1026</v>
      </c>
    </row>
    <row r="20" customFormat="false" ht="15" hidden="false" customHeight="false" outlineLevel="0" collapsed="false">
      <c r="A20" s="5" t="s">
        <v>905</v>
      </c>
      <c r="B20" s="5" t="s">
        <v>592</v>
      </c>
      <c r="C20" s="5" t="s">
        <v>1027</v>
      </c>
      <c r="D20" s="5" t="s">
        <v>120</v>
      </c>
      <c r="E20" s="5" t="s">
        <v>1028</v>
      </c>
      <c r="F20" s="5" t="s">
        <v>1029</v>
      </c>
      <c r="G20" s="5" t="s">
        <v>1030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s>
  <sheetData>
    <row r="1" customFormat="false" ht="15" hidden="false" customHeight="false" outlineLevel="0" collapsed="false">
      <c r="A1" s="14" t="s">
        <v>1031</v>
      </c>
    </row>
    <row r="3" customFormat="false" ht="23.85" hidden="false" customHeight="false" outlineLevel="0" collapsed="false">
      <c r="A3" s="4" t="s">
        <v>1032</v>
      </c>
      <c r="B3" s="4" t="s">
        <v>1033</v>
      </c>
      <c r="C3" s="4" t="s">
        <v>762</v>
      </c>
    </row>
    <row r="4" customFormat="false" ht="15" hidden="false" customHeight="false" outlineLevel="0" collapsed="false">
      <c r="A4" s="5" t="s">
        <v>1034</v>
      </c>
      <c r="B4" s="5" t="n">
        <v>62.1057</v>
      </c>
      <c r="C4" s="5" t="s">
        <v>1035</v>
      </c>
    </row>
    <row r="5" customFormat="false" ht="15" hidden="false" customHeight="false" outlineLevel="0" collapsed="false">
      <c r="A5" s="5" t="s">
        <v>1036</v>
      </c>
      <c r="B5" s="5" t="n">
        <v>62.1642</v>
      </c>
      <c r="C5" s="5" t="s">
        <v>1035</v>
      </c>
    </row>
    <row r="6" customFormat="false" ht="15" hidden="false" customHeight="false" outlineLevel="0" collapsed="false">
      <c r="A6" s="5" t="s">
        <v>1037</v>
      </c>
      <c r="B6" s="5" t="n">
        <v>60.9476</v>
      </c>
      <c r="C6" s="5" t="s">
        <v>1035</v>
      </c>
    </row>
    <row r="7" customFormat="false" ht="15" hidden="false" customHeight="false" outlineLevel="0" collapsed="false">
      <c r="A7" s="5" t="s">
        <v>1038</v>
      </c>
      <c r="B7" s="5" t="n">
        <v>60.3464</v>
      </c>
      <c r="C7" s="5" t="s">
        <v>779</v>
      </c>
    </row>
    <row r="8" customFormat="false" ht="15" hidden="false" customHeight="false" outlineLevel="0" collapsed="false">
      <c r="A8" s="5" t="s">
        <v>1039</v>
      </c>
      <c r="B8" s="5" t="n">
        <v>59.2843</v>
      </c>
      <c r="C8" s="5" t="s">
        <v>779</v>
      </c>
    </row>
    <row r="9" customFormat="false" ht="15" hidden="false" customHeight="false" outlineLevel="0" collapsed="false">
      <c r="A9" s="5" t="s">
        <v>1040</v>
      </c>
      <c r="B9" s="5" t="n">
        <v>59.7367</v>
      </c>
      <c r="C9" s="5" t="s">
        <v>779</v>
      </c>
    </row>
    <row r="10" customFormat="false" ht="15" hidden="false" customHeight="false" outlineLevel="0" collapsed="false">
      <c r="A10" s="5" t="s">
        <v>1041</v>
      </c>
      <c r="B10" s="5" t="n">
        <v>60.0956</v>
      </c>
      <c r="C10" s="5" t="s">
        <v>784</v>
      </c>
    </row>
    <row r="11" customFormat="false" ht="15" hidden="false" customHeight="false" outlineLevel="0" collapsed="false">
      <c r="A11" s="5" t="s">
        <v>1042</v>
      </c>
      <c r="B11" s="5" t="n">
        <v>60.8738</v>
      </c>
      <c r="C11" s="5" t="s">
        <v>784</v>
      </c>
    </row>
    <row r="12" customFormat="false" ht="15" hidden="false" customHeight="false" outlineLevel="0" collapsed="false">
      <c r="A12" s="5" t="s">
        <v>1043</v>
      </c>
      <c r="B12" s="5" t="n">
        <v>60.8976</v>
      </c>
      <c r="C12" s="5" t="s">
        <v>784</v>
      </c>
    </row>
    <row r="13" customFormat="false" ht="15" hidden="false" customHeight="false" outlineLevel="0" collapsed="false">
      <c r="A13" s="5" t="s">
        <v>1044</v>
      </c>
      <c r="B13" s="5" t="n">
        <v>61.3668</v>
      </c>
      <c r="C13" s="5" t="s">
        <v>786</v>
      </c>
    </row>
    <row r="14" customFormat="false" ht="15" hidden="false" customHeight="false" outlineLevel="0" collapsed="false">
      <c r="A14" s="5" t="s">
        <v>1045</v>
      </c>
      <c r="B14" s="5" t="n">
        <v>61.6828</v>
      </c>
      <c r="C14" s="5" t="s">
        <v>786</v>
      </c>
    </row>
    <row r="15" customFormat="false" ht="15" hidden="false" customHeight="false" outlineLevel="0" collapsed="false">
      <c r="A15" s="5" t="s">
        <v>1046</v>
      </c>
      <c r="B15" s="5" t="n">
        <v>62.7071</v>
      </c>
      <c r="C15" s="5" t="s">
        <v>786</v>
      </c>
    </row>
    <row r="16" customFormat="false" ht="15" hidden="false" customHeight="false" outlineLevel="0" collapsed="false">
      <c r="A16" s="5" t="s">
        <v>1047</v>
      </c>
      <c r="B16" s="5" t="n">
        <v>62.13</v>
      </c>
      <c r="C16" s="5" t="s">
        <v>788</v>
      </c>
    </row>
    <row r="17" customFormat="false" ht="15" hidden="false" customHeight="false" outlineLevel="0" collapsed="false">
      <c r="A17" s="5" t="s">
        <v>1048</v>
      </c>
      <c r="B17" s="5" t="n">
        <v>61.9905</v>
      </c>
      <c r="C17" s="5" t="s">
        <v>788</v>
      </c>
    </row>
    <row r="18" customFormat="false" ht="15" hidden="false" customHeight="false" outlineLevel="0" collapsed="false">
      <c r="A18" s="5" t="s">
        <v>1049</v>
      </c>
      <c r="B18" s="5" t="n">
        <v>62.4805</v>
      </c>
      <c r="C18" s="5" t="s">
        <v>788</v>
      </c>
    </row>
    <row r="19" customFormat="false" ht="15" hidden="false" customHeight="false" outlineLevel="0" collapsed="false">
      <c r="A19" s="5" t="s">
        <v>1050</v>
      </c>
      <c r="B19" s="5" t="n">
        <v>62.6414</v>
      </c>
      <c r="C19" s="5" t="s">
        <v>792</v>
      </c>
    </row>
    <row r="20" customFormat="false" ht="15" hidden="false" customHeight="false" outlineLevel="0" collapsed="false">
      <c r="A20" s="5" t="s">
        <v>1051</v>
      </c>
      <c r="B20" s="5" t="n">
        <v>63.715</v>
      </c>
      <c r="C20" s="5" t="s">
        <v>792</v>
      </c>
    </row>
    <row r="21" customFormat="false" ht="15" hidden="false" customHeight="false" outlineLevel="0" collapsed="false">
      <c r="A21" s="5" t="s">
        <v>1052</v>
      </c>
      <c r="B21" s="5" t="n">
        <v>63.7809</v>
      </c>
      <c r="C21" s="5" t="s">
        <v>792</v>
      </c>
    </row>
    <row r="22" customFormat="false" ht="15" hidden="false" customHeight="false" outlineLevel="0" collapsed="false">
      <c r="A22" s="5" t="s">
        <v>1053</v>
      </c>
      <c r="B22" s="5" t="n">
        <v>63.6045</v>
      </c>
      <c r="C22" s="5" t="s">
        <v>794</v>
      </c>
    </row>
    <row r="23" customFormat="false" ht="15" hidden="false" customHeight="false" outlineLevel="0" collapsed="false">
      <c r="A23" s="5" t="s">
        <v>1054</v>
      </c>
      <c r="B23" s="5" t="n">
        <v>65.0971</v>
      </c>
      <c r="C23" s="5" t="s">
        <v>794</v>
      </c>
    </row>
    <row r="24" customFormat="false" ht="15" hidden="false" customHeight="false" outlineLevel="0" collapsed="false">
      <c r="A24" s="5" t="s">
        <v>1055</v>
      </c>
      <c r="B24" s="5" t="n">
        <v>66.1667</v>
      </c>
      <c r="C24" s="5" t="s">
        <v>794</v>
      </c>
    </row>
    <row r="25" customFormat="false" ht="15" hidden="false" customHeight="false" outlineLevel="0" collapsed="false">
      <c r="A25" s="5" t="s">
        <v>1056</v>
      </c>
      <c r="B25" s="5" t="n">
        <v>65.0262</v>
      </c>
      <c r="C25" s="5" t="s">
        <v>502</v>
      </c>
    </row>
    <row r="26" customFormat="false" ht="15" hidden="false" customHeight="false" outlineLevel="0" collapsed="false">
      <c r="A26" s="5" t="s">
        <v>1057</v>
      </c>
      <c r="B26" s="5" t="n">
        <v>66.1</v>
      </c>
      <c r="C26" s="5" t="s">
        <v>502</v>
      </c>
    </row>
    <row r="27" customFormat="false" ht="15" hidden="false" customHeight="false" outlineLevel="0" collapsed="false">
      <c r="A27" s="5" t="s">
        <v>1058</v>
      </c>
      <c r="B27" s="5" t="n">
        <v>66.5023</v>
      </c>
      <c r="C27" s="5" t="s">
        <v>502</v>
      </c>
    </row>
    <row r="28" customFormat="false" ht="15" hidden="false" customHeight="false" outlineLevel="0" collapsed="false">
      <c r="A28" s="5" t="s">
        <v>1059</v>
      </c>
      <c r="B28" s="5" t="n">
        <v>67.3332</v>
      </c>
      <c r="C28" s="5" t="s">
        <v>797</v>
      </c>
    </row>
    <row r="29" customFormat="false" ht="15" hidden="false" customHeight="false" outlineLevel="0" collapsed="false">
      <c r="A29" s="5" t="s">
        <v>1060</v>
      </c>
      <c r="B29" s="5" t="n">
        <v>68.2395</v>
      </c>
      <c r="C29" s="5" t="s">
        <v>797</v>
      </c>
    </row>
    <row r="30" customFormat="false" ht="15" hidden="false" customHeight="false" outlineLevel="0" collapsed="false">
      <c r="A30" s="5" t="s">
        <v>1061</v>
      </c>
      <c r="B30" s="5" t="n">
        <v>66.8909</v>
      </c>
      <c r="C30" s="5" t="s">
        <v>797</v>
      </c>
    </row>
    <row r="31" customFormat="false" ht="15" hidden="false" customHeight="false" outlineLevel="0" collapsed="false">
      <c r="A31" s="5" t="s">
        <v>1062</v>
      </c>
      <c r="B31" s="5" t="n">
        <v>66.4219</v>
      </c>
      <c r="C31" s="5" t="s">
        <v>800</v>
      </c>
    </row>
    <row r="32" customFormat="false" ht="15" hidden="false" customHeight="false" outlineLevel="0" collapsed="false">
      <c r="A32" s="5" t="s">
        <v>1063</v>
      </c>
      <c r="B32" s="5" t="n">
        <v>66.8895</v>
      </c>
      <c r="C32" s="5" t="s">
        <v>800</v>
      </c>
    </row>
    <row r="33" customFormat="false" ht="15" hidden="false" customHeight="false" outlineLevel="0" collapsed="false">
      <c r="A33" s="5" t="s">
        <v>1064</v>
      </c>
      <c r="B33" s="5" t="n">
        <v>67.2655</v>
      </c>
      <c r="C33" s="5" t="s">
        <v>800</v>
      </c>
    </row>
    <row r="34" customFormat="false" ht="15" hidden="false" customHeight="false" outlineLevel="0" collapsed="false">
      <c r="A34" s="5" t="s">
        <v>1065</v>
      </c>
      <c r="B34" s="5" t="n">
        <v>67.158</v>
      </c>
      <c r="C34" s="5" t="s">
        <v>803</v>
      </c>
    </row>
    <row r="35" customFormat="false" ht="15" hidden="false" customHeight="false" outlineLevel="0" collapsed="false">
      <c r="A35" s="5" t="s">
        <v>1066</v>
      </c>
      <c r="B35" s="5" t="n">
        <v>66.9035</v>
      </c>
      <c r="C35" s="5" t="s">
        <v>803</v>
      </c>
    </row>
    <row r="36" customFormat="false" ht="15" hidden="false" customHeight="false" outlineLevel="0" collapsed="false">
      <c r="A36" s="5" t="s">
        <v>1067</v>
      </c>
      <c r="B36" s="5" t="n">
        <v>66.7138</v>
      </c>
      <c r="C36" s="5" t="s">
        <v>803</v>
      </c>
    </row>
    <row r="37" customFormat="false" ht="15" hidden="false" customHeight="false" outlineLevel="0" collapsed="false">
      <c r="A37" s="5" t="s">
        <v>1068</v>
      </c>
      <c r="B37" s="5" t="n">
        <v>66.7415</v>
      </c>
      <c r="C37" s="5" t="s">
        <v>805</v>
      </c>
    </row>
    <row r="38" customFormat="false" ht="15" hidden="false" customHeight="false" outlineLevel="0" collapsed="false">
      <c r="A38" s="5" t="s">
        <v>1069</v>
      </c>
      <c r="B38" s="5" t="n">
        <v>67.6395</v>
      </c>
      <c r="C38" s="5" t="s">
        <v>805</v>
      </c>
    </row>
    <row r="39" customFormat="false" ht="15" hidden="false" customHeight="false" outlineLevel="0" collapsed="false">
      <c r="A39" s="5" t="s">
        <v>1070</v>
      </c>
      <c r="B39" s="5" t="n">
        <v>67.8052</v>
      </c>
      <c r="C39" s="5" t="s">
        <v>805</v>
      </c>
    </row>
    <row r="40" customFormat="false" ht="15" hidden="false" customHeight="false" outlineLevel="0" collapsed="false">
      <c r="A40" s="5" t="s">
        <v>1071</v>
      </c>
      <c r="B40" s="5" t="n">
        <v>68.0474</v>
      </c>
      <c r="C40" s="5" t="s">
        <v>807</v>
      </c>
    </row>
    <row r="41" customFormat="false" ht="15" hidden="false" customHeight="false" outlineLevel="0" collapsed="false">
      <c r="A41" s="5" t="s">
        <v>1072</v>
      </c>
      <c r="B41" s="5" t="n">
        <v>66.9726</v>
      </c>
      <c r="C41" s="5" t="s">
        <v>807</v>
      </c>
    </row>
    <row r="42" customFormat="false" ht="15" hidden="false" customHeight="false" outlineLevel="0" collapsed="false">
      <c r="A42" s="5" t="s">
        <v>1073</v>
      </c>
      <c r="B42" s="5" t="n">
        <v>65.8009</v>
      </c>
      <c r="C42" s="5" t="s">
        <v>807</v>
      </c>
    </row>
    <row r="43" customFormat="false" ht="15" hidden="false" customHeight="false" outlineLevel="0" collapsed="false">
      <c r="A43" s="5" t="s">
        <v>1074</v>
      </c>
      <c r="B43" s="5" t="n">
        <v>64.536</v>
      </c>
      <c r="C43" s="5" t="s">
        <v>811</v>
      </c>
    </row>
    <row r="44" customFormat="false" ht="15" hidden="false" customHeight="false" outlineLevel="0" collapsed="false">
      <c r="A44" s="5" t="s">
        <v>1075</v>
      </c>
      <c r="B44" s="5" t="n">
        <v>64.4195</v>
      </c>
      <c r="C44" s="5" t="s">
        <v>811</v>
      </c>
    </row>
    <row r="45" customFormat="false" ht="15" hidden="false" customHeight="false" outlineLevel="0" collapsed="false">
      <c r="A45" s="5" t="s">
        <v>1076</v>
      </c>
      <c r="B45" s="5" t="n">
        <v>64.4482</v>
      </c>
      <c r="C45" s="5" t="s">
        <v>811</v>
      </c>
    </row>
    <row r="46" customFormat="false" ht="15" hidden="false" customHeight="false" outlineLevel="0" collapsed="false">
      <c r="A46" s="5" t="s">
        <v>1077</v>
      </c>
      <c r="B46" s="5" t="n">
        <v>64.424</v>
      </c>
      <c r="C46" s="5" t="s">
        <v>813</v>
      </c>
    </row>
    <row r="47" customFormat="false" ht="15" hidden="false" customHeight="false" outlineLevel="0" collapsed="false">
      <c r="A47" s="5" t="s">
        <v>1078</v>
      </c>
      <c r="B47" s="5" t="n">
        <v>63.9683</v>
      </c>
      <c r="C47" s="5" t="s">
        <v>813</v>
      </c>
    </row>
    <row r="48" customFormat="false" ht="15" hidden="false" customHeight="false" outlineLevel="0" collapsed="false">
      <c r="A48" s="5" t="s">
        <v>1079</v>
      </c>
      <c r="B48" s="5" t="n">
        <v>64.4775</v>
      </c>
      <c r="C48" s="5" t="s">
        <v>813</v>
      </c>
    </row>
    <row r="49" customFormat="false" ht="15" hidden="false" customHeight="false" outlineLevel="0" collapsed="false">
      <c r="A49" s="5" t="s">
        <v>1080</v>
      </c>
      <c r="B49" s="5" t="n">
        <v>65.0357</v>
      </c>
      <c r="C49" s="5" t="s">
        <v>815</v>
      </c>
    </row>
    <row r="50" customFormat="false" ht="15" hidden="false" customHeight="false" outlineLevel="0" collapsed="false">
      <c r="A50" s="5" t="s">
        <v>1081</v>
      </c>
      <c r="B50" s="5" t="n">
        <v>64.8435</v>
      </c>
      <c r="C50" s="5" t="s">
        <v>815</v>
      </c>
    </row>
    <row r="51" customFormat="false" ht="15" hidden="false" customHeight="false" outlineLevel="0" collapsed="false">
      <c r="A51" s="5" t="s">
        <v>1082</v>
      </c>
      <c r="B51" s="5" t="n">
        <v>64.2445</v>
      </c>
      <c r="C51" s="5" t="s">
        <v>815</v>
      </c>
    </row>
    <row r="52" customFormat="false" ht="15" hidden="false" customHeight="false" outlineLevel="0" collapsed="false">
      <c r="A52" s="5" t="s">
        <v>1083</v>
      </c>
      <c r="B52" s="5" t="n">
        <v>63.6452</v>
      </c>
      <c r="C52" s="5" t="s">
        <v>471</v>
      </c>
    </row>
    <row r="53" customFormat="false" ht="15" hidden="false" customHeight="false" outlineLevel="0" collapsed="false">
      <c r="A53" s="5" t="s">
        <v>1084</v>
      </c>
      <c r="B53" s="5" t="n">
        <v>64.43</v>
      </c>
      <c r="C53" s="5" t="s">
        <v>471</v>
      </c>
    </row>
    <row r="54" customFormat="false" ht="15" hidden="false" customHeight="false" outlineLevel="0" collapsed="false">
      <c r="A54" s="5" t="s">
        <v>1085</v>
      </c>
      <c r="B54" s="5" t="n">
        <v>65.0455</v>
      </c>
      <c r="C54" s="5" t="s">
        <v>471</v>
      </c>
    </row>
    <row r="55" customFormat="false" ht="15" hidden="false" customHeight="false" outlineLevel="0" collapsed="false">
      <c r="A55" s="5" t="s">
        <v>1086</v>
      </c>
      <c r="B55" s="5" t="n">
        <v>65.6729</v>
      </c>
      <c r="C55" s="5" t="s">
        <v>820</v>
      </c>
    </row>
    <row r="56" customFormat="false" ht="15" hidden="false" customHeight="false" outlineLevel="0" collapsed="false">
      <c r="A56" s="5" t="s">
        <v>1087</v>
      </c>
      <c r="B56" s="5" t="n">
        <v>67.51</v>
      </c>
      <c r="C56" s="5" t="s">
        <v>820</v>
      </c>
    </row>
    <row r="57" customFormat="false" ht="15" hidden="false" customHeight="false" outlineLevel="0" collapsed="false">
      <c r="A57" s="5" t="s">
        <v>1088</v>
      </c>
      <c r="B57" s="5" t="n">
        <v>67.79</v>
      </c>
      <c r="C57" s="5" t="s">
        <v>820</v>
      </c>
    </row>
    <row r="58" customFormat="false" ht="15" hidden="false" customHeight="false" outlineLevel="0" collapsed="false">
      <c r="A58" s="5" t="s">
        <v>1089</v>
      </c>
      <c r="B58" s="5" t="n">
        <v>68.6867</v>
      </c>
      <c r="C58" s="5" t="s">
        <v>476</v>
      </c>
    </row>
    <row r="59" customFormat="false" ht="15" hidden="false" customHeight="false" outlineLevel="0" collapsed="false">
      <c r="A59" s="5" t="s">
        <v>1090</v>
      </c>
      <c r="B59" s="5" t="n">
        <v>69.6317</v>
      </c>
      <c r="C59" s="5" t="s">
        <v>476</v>
      </c>
    </row>
    <row r="60" customFormat="false" ht="15" hidden="false" customHeight="false" outlineLevel="0" collapsed="false">
      <c r="A60" s="5" t="s">
        <v>1091</v>
      </c>
      <c r="B60" s="5" t="n">
        <v>72.2779</v>
      </c>
      <c r="C60" s="5" t="s">
        <v>476</v>
      </c>
    </row>
    <row r="61" customFormat="false" ht="15" hidden="false" customHeight="false" outlineLevel="0" collapsed="false">
      <c r="A61" s="5" t="s">
        <v>1092</v>
      </c>
      <c r="B61" s="5" t="n">
        <v>73.5609</v>
      </c>
      <c r="C61" s="5" t="s">
        <v>439</v>
      </c>
    </row>
    <row r="62" customFormat="false" ht="15" hidden="false" customHeight="false" outlineLevel="0" collapsed="false">
      <c r="A62" s="5" t="s">
        <v>1093</v>
      </c>
      <c r="B62" s="5" t="n">
        <v>71.738</v>
      </c>
      <c r="C62" s="5" t="s">
        <v>439</v>
      </c>
    </row>
    <row r="63" customFormat="false" ht="15" hidden="false" customHeight="false" outlineLevel="0" collapsed="false">
      <c r="A63" s="5" t="s">
        <v>1094</v>
      </c>
      <c r="B63" s="5" t="n">
        <v>70.8331</v>
      </c>
      <c r="C63" s="5" t="s">
        <v>439</v>
      </c>
    </row>
    <row r="64" customFormat="false" ht="15" hidden="false" customHeight="false" outlineLevel="0" collapsed="false">
      <c r="A64" s="5" t="s">
        <v>1095</v>
      </c>
      <c r="B64" s="5" t="n">
        <v>70.71</v>
      </c>
      <c r="C64" s="5" t="s">
        <v>493</v>
      </c>
    </row>
    <row r="65" customFormat="false" ht="15" hidden="false" customHeight="false" outlineLevel="0" collapsed="false">
      <c r="A65" s="5" t="s">
        <v>1096</v>
      </c>
      <c r="B65" s="5" t="n">
        <v>71.1739</v>
      </c>
      <c r="C65" s="5" t="s">
        <v>493</v>
      </c>
    </row>
    <row r="66" customFormat="false" ht="15" hidden="false" customHeight="false" outlineLevel="0" collapsed="false">
      <c r="A66" s="5" t="s">
        <v>1097</v>
      </c>
      <c r="B66" s="5" t="n">
        <v>69.4895</v>
      </c>
      <c r="C66" s="5" t="s">
        <v>493</v>
      </c>
    </row>
    <row r="67" customFormat="false" ht="15" hidden="false" customHeight="false" outlineLevel="0" collapsed="false">
      <c r="A67" s="5" t="s">
        <v>1098</v>
      </c>
      <c r="B67" s="5" t="n">
        <v>69.4068</v>
      </c>
      <c r="C67" s="5" t="s">
        <v>461</v>
      </c>
    </row>
    <row r="68" customFormat="false" ht="15" hidden="false" customHeight="false" outlineLevel="0" collapsed="false">
      <c r="A68" s="5" t="s">
        <v>1099</v>
      </c>
      <c r="B68" s="5" t="n">
        <v>69.7827</v>
      </c>
      <c r="C68" s="5" t="s">
        <v>461</v>
      </c>
    </row>
    <row r="69" customFormat="false" ht="15" hidden="false" customHeight="false" outlineLevel="0" collapsed="false">
      <c r="A69" s="5" t="s">
        <v>1100</v>
      </c>
      <c r="B69" s="5" t="n">
        <v>69.388</v>
      </c>
      <c r="C69" s="5" t="s">
        <v>461</v>
      </c>
    </row>
    <row r="70" customFormat="false" ht="15" hidden="false" customHeight="false" outlineLevel="0" collapsed="false">
      <c r="A70" s="5" t="s">
        <v>1101</v>
      </c>
      <c r="B70" s="5" t="n">
        <v>68.7391</v>
      </c>
      <c r="C70" s="5" t="s">
        <v>485</v>
      </c>
    </row>
    <row r="71" customFormat="false" ht="15" hidden="false" customHeight="false" outlineLevel="0" collapsed="false">
      <c r="A71" s="5" t="s">
        <v>1102</v>
      </c>
      <c r="B71" s="5" t="n">
        <v>71.1891</v>
      </c>
      <c r="C71" s="5" t="s">
        <v>485</v>
      </c>
    </row>
    <row r="72" customFormat="false" ht="15" hidden="false" customHeight="false" outlineLevel="0" collapsed="false">
      <c r="A72" s="5" t="s">
        <v>1103</v>
      </c>
      <c r="B72" s="5" t="n">
        <v>71.311</v>
      </c>
      <c r="C72" s="5" t="s">
        <v>485</v>
      </c>
    </row>
    <row r="73" customFormat="false" ht="15" hidden="false" customHeight="false" outlineLevel="0" collapsed="false">
      <c r="A73" s="5" t="s">
        <v>1104</v>
      </c>
      <c r="B73" s="5" t="n">
        <v>71.0086</v>
      </c>
      <c r="C73" s="5" t="s">
        <v>830</v>
      </c>
    </row>
    <row r="74" customFormat="false" ht="15" hidden="false" customHeight="false" outlineLevel="0" collapsed="false">
      <c r="A74" s="5" t="s">
        <v>1105</v>
      </c>
      <c r="B74" s="5" t="n">
        <v>71.4942</v>
      </c>
      <c r="C74" s="5" t="s">
        <v>830</v>
      </c>
    </row>
    <row r="75" customFormat="false" ht="15" hidden="false" customHeight="false" outlineLevel="0" collapsed="false">
      <c r="A75" s="5" t="s">
        <v>1106</v>
      </c>
      <c r="B75" s="5" t="n">
        <v>71.1567</v>
      </c>
      <c r="C75" s="5" t="s">
        <v>830</v>
      </c>
    </row>
    <row r="76" customFormat="false" ht="15" hidden="false" customHeight="false" outlineLevel="0" collapsed="false">
      <c r="A76" s="5" t="s">
        <v>1107</v>
      </c>
      <c r="B76" s="5" t="n">
        <v>71.279</v>
      </c>
      <c r="C76" s="5" t="s">
        <v>832</v>
      </c>
    </row>
    <row r="77" customFormat="false" ht="15" hidden="false" customHeight="false" outlineLevel="0" collapsed="false">
      <c r="A77" s="5" t="s">
        <v>1108</v>
      </c>
      <c r="B77" s="5" t="n">
        <v>71.5295</v>
      </c>
      <c r="C77" s="5" t="s">
        <v>832</v>
      </c>
    </row>
    <row r="78" customFormat="false" ht="15" hidden="false" customHeight="false" outlineLevel="0" collapsed="false">
      <c r="A78" s="5" t="s">
        <v>1109</v>
      </c>
      <c r="B78" s="5" t="n">
        <v>74.5482</v>
      </c>
      <c r="C78" s="5" t="s">
        <v>832</v>
      </c>
    </row>
    <row r="79" customFormat="false" ht="15" hidden="false" customHeight="false" outlineLevel="0" collapsed="false">
      <c r="A79" s="5" t="s">
        <v>1110</v>
      </c>
      <c r="B79" s="5" t="n">
        <v>76.1682</v>
      </c>
      <c r="C79" s="5" t="s">
        <v>175</v>
      </c>
    </row>
    <row r="80" customFormat="false" ht="15" hidden="false" customHeight="false" outlineLevel="0" collapsed="false">
      <c r="A80" s="5" t="s">
        <v>1111</v>
      </c>
      <c r="B80" s="5" t="n">
        <v>75.6575</v>
      </c>
      <c r="C80" s="5" t="s">
        <v>175</v>
      </c>
    </row>
    <row r="81" customFormat="false" ht="15" hidden="false" customHeight="false" outlineLevel="0" collapsed="false">
      <c r="A81" s="5" t="s">
        <v>1112</v>
      </c>
      <c r="B81" s="5" t="n">
        <v>75.7077</v>
      </c>
      <c r="C81" s="5" t="s">
        <v>175</v>
      </c>
    </row>
    <row r="82" customFormat="false" ht="15" hidden="false" customHeight="false" outlineLevel="0" collapsed="false">
      <c r="A82" s="5" t="s">
        <v>1113</v>
      </c>
      <c r="B82" s="5" t="n">
        <v>74.9286</v>
      </c>
      <c r="C82" s="5" t="s">
        <v>836</v>
      </c>
    </row>
    <row r="83" customFormat="false" ht="15" hidden="false" customHeight="false" outlineLevel="0" collapsed="false">
      <c r="A83" s="5" t="s">
        <v>1114</v>
      </c>
      <c r="B83" s="5" t="n">
        <v>74.5657</v>
      </c>
      <c r="C83" s="5" t="s">
        <v>836</v>
      </c>
    </row>
    <row r="84" customFormat="false" ht="15" hidden="false" customHeight="false" outlineLevel="0" collapsed="false">
      <c r="A84" s="5" t="s">
        <v>1115</v>
      </c>
      <c r="B84" s="5" t="n">
        <v>73.5233</v>
      </c>
      <c r="C84" s="5" t="s">
        <v>836</v>
      </c>
    </row>
    <row r="85" customFormat="false" ht="15" hidden="false" customHeight="false" outlineLevel="0" collapsed="false">
      <c r="A85" s="5" t="s">
        <v>1116</v>
      </c>
      <c r="B85" s="5" t="n">
        <v>73.5648</v>
      </c>
      <c r="C85" s="5" t="s">
        <v>79</v>
      </c>
    </row>
    <row r="86" customFormat="false" ht="15" hidden="false" customHeight="false" outlineLevel="0" collapsed="false">
      <c r="A86" s="5" t="s">
        <v>1117</v>
      </c>
      <c r="B86" s="5" t="n">
        <v>74.2311</v>
      </c>
      <c r="C86" s="5" t="s">
        <v>79</v>
      </c>
    </row>
    <row r="87" customFormat="false" ht="15" hidden="false" customHeight="false" outlineLevel="0" collapsed="false">
      <c r="A87" s="5" t="s">
        <v>1118</v>
      </c>
      <c r="B87" s="5" t="n">
        <v>73.6195</v>
      </c>
      <c r="C87" s="5" t="s">
        <v>79</v>
      </c>
    </row>
    <row r="88" customFormat="false" ht="15" hidden="false" customHeight="false" outlineLevel="0" collapsed="false">
      <c r="A88" s="5" t="s">
        <v>985</v>
      </c>
      <c r="B88" s="5" t="n">
        <v>73.1106</v>
      </c>
      <c r="C88" s="5" t="s">
        <v>839</v>
      </c>
    </row>
    <row r="89" customFormat="false" ht="15" hidden="false" customHeight="false" outlineLevel="0" collapsed="false">
      <c r="A89" s="5" t="s">
        <v>1119</v>
      </c>
      <c r="B89" s="5" t="n">
        <v>72.8053</v>
      </c>
      <c r="C89" s="5" t="s">
        <v>839</v>
      </c>
    </row>
    <row r="90" customFormat="false" ht="15" hidden="false" customHeight="false" outlineLevel="0" collapsed="false">
      <c r="A90" s="5" t="s">
        <v>1120</v>
      </c>
      <c r="B90" s="5" t="n">
        <v>72.8196</v>
      </c>
      <c r="C90" s="5" t="s">
        <v>839</v>
      </c>
    </row>
    <row r="91" customFormat="false" ht="15" hidden="false" customHeight="false" outlineLevel="0" collapsed="false">
      <c r="A91" s="5" t="s">
        <v>1121</v>
      </c>
      <c r="B91" s="5" t="n">
        <v>74.5186</v>
      </c>
      <c r="C91" s="5" t="s">
        <v>841</v>
      </c>
    </row>
    <row r="92" customFormat="false" ht="15" hidden="false" customHeight="false" outlineLevel="0" collapsed="false">
      <c r="A92" s="5" t="s">
        <v>1122</v>
      </c>
      <c r="B92" s="5" t="n">
        <v>73.2065</v>
      </c>
      <c r="C92" s="5" t="s">
        <v>841</v>
      </c>
    </row>
    <row r="93" customFormat="false" ht="15" hidden="false" customHeight="false" outlineLevel="0" collapsed="false">
      <c r="A93" s="5" t="s">
        <v>989</v>
      </c>
      <c r="B93" s="5" t="n">
        <v>73.5782</v>
      </c>
      <c r="C93" s="5" t="s">
        <v>841</v>
      </c>
    </row>
    <row r="94" customFormat="false" ht="15" hidden="false" customHeight="false" outlineLevel="0" collapsed="false">
      <c r="A94" s="5" t="s">
        <v>1123</v>
      </c>
      <c r="B94" s="5" t="n">
        <v>74.539</v>
      </c>
      <c r="C94" s="5" t="s">
        <v>844</v>
      </c>
    </row>
    <row r="95" customFormat="false" ht="15" hidden="false" customHeight="false" outlineLevel="0" collapsed="false">
      <c r="A95" s="5" t="s">
        <v>1124</v>
      </c>
      <c r="B95" s="5" t="n">
        <v>74.1155</v>
      </c>
      <c r="C95" s="5" t="s">
        <v>844</v>
      </c>
    </row>
    <row r="96" customFormat="false" ht="15" hidden="false" customHeight="false" outlineLevel="0" collapsed="false">
      <c r="A96" s="5" t="s">
        <v>991</v>
      </c>
      <c r="B96" s="5" t="n">
        <v>73.6357</v>
      </c>
      <c r="C96" s="5" t="s">
        <v>844</v>
      </c>
    </row>
    <row r="97" customFormat="false" ht="15" hidden="false" customHeight="false" outlineLevel="0" collapsed="false">
      <c r="A97" s="5" t="s">
        <v>1125</v>
      </c>
      <c r="B97" s="5" t="n">
        <v>74.92</v>
      </c>
      <c r="C97" s="5" t="s">
        <v>846</v>
      </c>
    </row>
    <row r="98" customFormat="false" ht="15" hidden="false" customHeight="false" outlineLevel="0" collapsed="false">
      <c r="A98" s="5" t="s">
        <v>1126</v>
      </c>
      <c r="B98" s="5" t="n">
        <v>74.477</v>
      </c>
      <c r="C98" s="5" t="s">
        <v>846</v>
      </c>
    </row>
    <row r="99" customFormat="false" ht="15" hidden="false" customHeight="false" outlineLevel="0" collapsed="false">
      <c r="A99" s="5" t="s">
        <v>1127</v>
      </c>
      <c r="B99" s="5" t="n">
        <v>75.3948</v>
      </c>
      <c r="C99" s="5" t="s">
        <v>846</v>
      </c>
    </row>
    <row r="100" customFormat="false" ht="15" hidden="false" customHeight="false" outlineLevel="0" collapsed="false">
      <c r="A100" s="5" t="s">
        <v>1128</v>
      </c>
      <c r="B100" s="5" t="n">
        <v>74.4075</v>
      </c>
      <c r="C100" s="5" t="s">
        <v>641</v>
      </c>
    </row>
    <row r="101" customFormat="false" ht="15" hidden="false" customHeight="false" outlineLevel="0" collapsed="false">
      <c r="A101" s="5" t="s">
        <v>1129</v>
      </c>
      <c r="B101" s="5" t="n">
        <v>74.9695</v>
      </c>
      <c r="C101" s="5" t="s">
        <v>641</v>
      </c>
    </row>
    <row r="102" customFormat="false" ht="15" hidden="false" customHeight="false" outlineLevel="0" collapsed="false">
      <c r="A102" s="5" t="s">
        <v>1130</v>
      </c>
      <c r="B102" s="5" t="n">
        <v>76.1896</v>
      </c>
      <c r="C102" s="5" t="s">
        <v>641</v>
      </c>
    </row>
    <row r="103" customFormat="false" ht="15" hidden="false" customHeight="false" outlineLevel="0" collapsed="false">
      <c r="A103" s="5" t="s">
        <v>1005</v>
      </c>
      <c r="B103" s="5" t="n">
        <v>76.1719</v>
      </c>
      <c r="C103" s="5" t="s">
        <v>133</v>
      </c>
    </row>
    <row r="104" customFormat="false" ht="15" hidden="false" customHeight="false" outlineLevel="0" collapsed="false">
      <c r="A104" s="5" t="s">
        <v>1131</v>
      </c>
      <c r="B104" s="5" t="n">
        <v>77.2933</v>
      </c>
      <c r="C104" s="5" t="s">
        <v>133</v>
      </c>
    </row>
    <row r="105" customFormat="false" ht="15" hidden="false" customHeight="false" outlineLevel="0" collapsed="false">
      <c r="A105" s="5" t="s">
        <v>1132</v>
      </c>
      <c r="B105" s="5" t="n">
        <v>78.09</v>
      </c>
      <c r="C105" s="5" t="s">
        <v>133</v>
      </c>
    </row>
    <row r="106" customFormat="false" ht="15" hidden="false" customHeight="false" outlineLevel="0" collapsed="false">
      <c r="A106" s="5" t="s">
        <v>1133</v>
      </c>
      <c r="B106" s="5" t="n">
        <v>79.5915</v>
      </c>
      <c r="C106" s="5" t="s">
        <v>650</v>
      </c>
    </row>
    <row r="107" customFormat="false" ht="15" hidden="false" customHeight="false" outlineLevel="0" collapsed="false">
      <c r="A107" s="5" t="s">
        <v>1134</v>
      </c>
      <c r="B107" s="5" t="n">
        <v>79.5065</v>
      </c>
      <c r="C107" s="5" t="s">
        <v>650</v>
      </c>
    </row>
    <row r="108" customFormat="false" ht="15" hidden="false" customHeight="false" outlineLevel="0" collapsed="false">
      <c r="A108" s="5" t="s">
        <v>994</v>
      </c>
      <c r="B108" s="5" t="n">
        <v>80.2538</v>
      </c>
      <c r="C108" s="5" t="s">
        <v>650</v>
      </c>
    </row>
    <row r="109" customFormat="false" ht="15" hidden="false" customHeight="false" outlineLevel="0" collapsed="false">
      <c r="A109" s="5" t="s">
        <v>1135</v>
      </c>
      <c r="B109" s="5" t="n">
        <v>82.2915</v>
      </c>
      <c r="C109" s="5" t="s">
        <v>161</v>
      </c>
    </row>
    <row r="110" customFormat="false" ht="15" hidden="false" customHeight="false" outlineLevel="0" collapsed="false">
      <c r="A110" s="5" t="s">
        <v>1136</v>
      </c>
      <c r="B110" s="5" t="n">
        <v>81.6805</v>
      </c>
      <c r="C110" s="5" t="s">
        <v>161</v>
      </c>
    </row>
    <row r="111" customFormat="false" ht="15" hidden="false" customHeight="false" outlineLevel="0" collapsed="false">
      <c r="A111" s="5" t="s">
        <v>1137</v>
      </c>
      <c r="B111" s="5" t="n">
        <v>82.4738</v>
      </c>
      <c r="C111" s="5" t="s">
        <v>161</v>
      </c>
    </row>
    <row r="112" customFormat="false" ht="15" hidden="false" customHeight="false" outlineLevel="0" collapsed="false">
      <c r="A112" s="5" t="s">
        <v>1138</v>
      </c>
      <c r="B112" s="5" t="n">
        <v>81.741</v>
      </c>
      <c r="C112" s="5" t="s">
        <v>853</v>
      </c>
    </row>
    <row r="113" customFormat="false" ht="15" hidden="false" customHeight="false" outlineLevel="0" collapsed="false">
      <c r="A113" s="5" t="s">
        <v>1139</v>
      </c>
      <c r="B113" s="5" t="n">
        <v>82.5995</v>
      </c>
      <c r="C113" s="5" t="s">
        <v>853</v>
      </c>
    </row>
    <row r="114" customFormat="false" ht="15" hidden="false" customHeight="false" outlineLevel="0" collapsed="false">
      <c r="A114" s="5" t="s">
        <v>1140</v>
      </c>
      <c r="B114" s="5" t="n">
        <v>82.2665</v>
      </c>
      <c r="C114" s="5" t="s">
        <v>853</v>
      </c>
    </row>
    <row r="115" customFormat="false" ht="15" hidden="false" customHeight="false" outlineLevel="0" collapsed="false">
      <c r="A115" s="5" t="s">
        <v>1141</v>
      </c>
      <c r="B115" s="5" t="n">
        <v>81.9685</v>
      </c>
      <c r="C115" s="5" t="s">
        <v>658</v>
      </c>
    </row>
    <row r="116" customFormat="false" ht="15" hidden="false" customHeight="false" outlineLevel="0" collapsed="false">
      <c r="A116" s="5" t="s">
        <v>1142</v>
      </c>
      <c r="B116" s="5" t="n">
        <v>82.2977</v>
      </c>
      <c r="C116" s="5" t="s">
        <v>658</v>
      </c>
    </row>
    <row r="117" customFormat="false" ht="15" hidden="false" customHeight="false" outlineLevel="0" collapsed="false">
      <c r="A117" s="5" t="s">
        <v>1143</v>
      </c>
      <c r="B117" s="5" t="n">
        <v>82.2252</v>
      </c>
      <c r="C117" s="5" t="s">
        <v>658</v>
      </c>
    </row>
    <row r="118" customFormat="false" ht="15" hidden="false" customHeight="false" outlineLevel="0" collapsed="false">
      <c r="A118" s="5" t="s">
        <v>1144</v>
      </c>
      <c r="B118" s="5" t="n">
        <v>82.1565</v>
      </c>
      <c r="C118" s="5" t="s">
        <v>165</v>
      </c>
    </row>
    <row r="119" customFormat="false" ht="15" hidden="false" customHeight="false" outlineLevel="0" collapsed="false">
      <c r="A119" s="5" t="s">
        <v>1145</v>
      </c>
      <c r="B119" s="5" t="n">
        <v>82.8122</v>
      </c>
      <c r="C119" s="5" t="s">
        <v>165</v>
      </c>
    </row>
    <row r="120" customFormat="false" ht="15" hidden="false" customHeight="false" outlineLevel="0" collapsed="false">
      <c r="A120" s="5" t="s">
        <v>1146</v>
      </c>
      <c r="B120" s="5" t="n">
        <v>83.07</v>
      </c>
      <c r="C120" s="5" t="s">
        <v>165</v>
      </c>
    </row>
    <row r="121" customFormat="false" ht="15" hidden="false" customHeight="false" outlineLevel="0" collapsed="false">
      <c r="A121" s="5" t="s">
        <v>1147</v>
      </c>
      <c r="B121" s="5" t="n">
        <v>83.2162</v>
      </c>
      <c r="C121" s="5" t="s">
        <v>858</v>
      </c>
    </row>
    <row r="122" customFormat="false" ht="15" hidden="false" customHeight="false" outlineLevel="0" collapsed="false">
      <c r="A122" s="5" t="s">
        <v>1007</v>
      </c>
      <c r="B122" s="5" t="n">
        <v>83.266</v>
      </c>
      <c r="C122" s="5" t="s">
        <v>858</v>
      </c>
    </row>
    <row r="123" customFormat="false" ht="15" hidden="false" customHeight="false" outlineLevel="0" collapsed="false">
      <c r="A123" s="5" t="s">
        <v>997</v>
      </c>
      <c r="B123" s="5" t="n">
        <v>83.254</v>
      </c>
      <c r="C123" s="5" t="s">
        <v>858</v>
      </c>
    </row>
    <row r="124" customFormat="false" ht="15" hidden="false" customHeight="false" outlineLevel="0" collapsed="false">
      <c r="A124" s="5" t="s">
        <v>1148</v>
      </c>
      <c r="B124" s="5" t="n">
        <v>83.1119</v>
      </c>
      <c r="C124" s="5" t="s">
        <v>665</v>
      </c>
    </row>
    <row r="125" customFormat="false" ht="15" hidden="false" customHeight="false" outlineLevel="0" collapsed="false">
      <c r="A125" s="5" t="s">
        <v>1149</v>
      </c>
      <c r="B125" s="5" t="n">
        <v>82.9485</v>
      </c>
      <c r="C125" s="5" t="s">
        <v>665</v>
      </c>
    </row>
    <row r="126" customFormat="false" ht="15" hidden="false" customHeight="false" outlineLevel="0" collapsed="false">
      <c r="A126" s="5" t="s">
        <v>1150</v>
      </c>
      <c r="B126" s="5" t="n">
        <v>83.0214</v>
      </c>
      <c r="C126" s="5" t="s">
        <v>665</v>
      </c>
    </row>
    <row r="127" customFormat="false" ht="15" hidden="false" customHeight="false" outlineLevel="0" collapsed="false">
      <c r="A127" s="5" t="s">
        <v>1022</v>
      </c>
      <c r="B127" s="5" t="n">
        <v>83.3968</v>
      </c>
      <c r="C127" s="5" t="s">
        <v>668</v>
      </c>
    </row>
    <row r="128" customFormat="false" ht="15" hidden="false" customHeight="false" outlineLevel="0" collapsed="false">
      <c r="A128" s="5" t="s">
        <v>1151</v>
      </c>
      <c r="B128" s="5" t="n">
        <v>83.3873</v>
      </c>
      <c r="C128" s="5" t="s">
        <v>668</v>
      </c>
    </row>
    <row r="129" customFormat="false" ht="15" hidden="false" customHeight="false" outlineLevel="0" collapsed="false">
      <c r="A129" s="5" t="s">
        <v>1152</v>
      </c>
      <c r="B129" s="5" t="n">
        <v>83.46</v>
      </c>
      <c r="C129" s="5" t="s">
        <v>668</v>
      </c>
    </row>
    <row r="130" customFormat="false" ht="15" hidden="false" customHeight="false" outlineLevel="0" collapsed="false">
      <c r="A130" s="5" t="s">
        <v>1153</v>
      </c>
      <c r="B130" s="5" t="n">
        <v>83.5895</v>
      </c>
      <c r="C130" s="5" t="s">
        <v>148</v>
      </c>
    </row>
    <row r="131" customFormat="false" ht="15" hidden="false" customHeight="false" outlineLevel="0" collapsed="false">
      <c r="A131" s="5" t="s">
        <v>1154</v>
      </c>
      <c r="B131" s="5" t="n">
        <v>83.8855</v>
      </c>
      <c r="C131" s="5" t="s">
        <v>148</v>
      </c>
    </row>
    <row r="132" customFormat="false" ht="15" hidden="false" customHeight="false" outlineLevel="0" collapsed="false">
      <c r="A132" s="5" t="s">
        <v>1000</v>
      </c>
      <c r="B132" s="5" t="n">
        <v>83.791</v>
      </c>
      <c r="C132" s="5" t="s">
        <v>148</v>
      </c>
    </row>
    <row r="133" customFormat="false" ht="15" hidden="false" customHeight="false" outlineLevel="0" collapsed="false">
      <c r="A133" s="5" t="s">
        <v>1155</v>
      </c>
      <c r="B133" s="5" t="n">
        <v>84.005</v>
      </c>
      <c r="C133" s="5" t="s">
        <v>143</v>
      </c>
    </row>
    <row r="134" customFormat="false" ht="15" hidden="false" customHeight="false" outlineLevel="0" collapsed="false">
      <c r="A134" s="5" t="s">
        <v>1156</v>
      </c>
      <c r="B134" s="5" t="n">
        <v>84.3326</v>
      </c>
      <c r="C134" s="5" t="s">
        <v>143</v>
      </c>
    </row>
    <row r="135" customFormat="false" ht="15" hidden="false" customHeight="false" outlineLevel="0" collapsed="false">
      <c r="A135" s="5" t="s">
        <v>1157</v>
      </c>
      <c r="B135" s="5" t="n">
        <v>84.9686</v>
      </c>
      <c r="C135" s="5" t="s">
        <v>143</v>
      </c>
    </row>
    <row r="136" customFormat="false" ht="15" hidden="false" customHeight="false" outlineLevel="0" collapsed="false">
      <c r="A136" s="5" t="s">
        <v>1009</v>
      </c>
      <c r="B136" s="5" t="n">
        <v>86.2652</v>
      </c>
      <c r="C136" s="5" t="s">
        <v>128</v>
      </c>
    </row>
    <row r="137" customFormat="false" ht="15" hidden="false" customHeight="false" outlineLevel="0" collapsed="false">
      <c r="A137" s="5" t="s">
        <v>1158</v>
      </c>
      <c r="B137" s="5" t="n">
        <v>87.0637</v>
      </c>
      <c r="C137" s="5" t="s">
        <v>128</v>
      </c>
    </row>
    <row r="138" customFormat="false" ht="15" hidden="false" customHeight="false" outlineLevel="0" collapsed="false">
      <c r="A138" s="5" t="s">
        <v>1159</v>
      </c>
      <c r="B138" s="5" t="n">
        <v>86.5214</v>
      </c>
      <c r="C138" s="5" t="s">
        <v>128</v>
      </c>
    </row>
    <row r="139" customFormat="false" ht="15" hidden="false" customHeight="false" outlineLevel="0" collapsed="false">
      <c r="A139" s="5" t="s">
        <v>1012</v>
      </c>
      <c r="B139" s="5" t="n">
        <v>85.5768</v>
      </c>
      <c r="C139" s="5" t="s">
        <v>154</v>
      </c>
    </row>
    <row r="140" customFormat="false" ht="15" hidden="false" customHeight="false" outlineLevel="0" collapsed="false">
      <c r="A140" s="5" t="s">
        <v>1160</v>
      </c>
      <c r="B140" s="5" t="n">
        <v>85.2462</v>
      </c>
      <c r="C140" s="5" t="s">
        <v>154</v>
      </c>
    </row>
    <row r="141" customFormat="false" ht="15" hidden="false" customHeight="false" outlineLevel="0" collapsed="false">
      <c r="A141" s="5" t="s">
        <v>1161</v>
      </c>
      <c r="B141" s="5" t="n">
        <v>85.8765</v>
      </c>
      <c r="C141" s="5" t="s">
        <v>154</v>
      </c>
    </row>
    <row r="142" customFormat="false" ht="15" hidden="false" customHeight="false" outlineLevel="0" collapsed="false">
      <c r="A142" s="5" t="s">
        <v>1162</v>
      </c>
      <c r="B142" s="5" t="n">
        <v>86.1714</v>
      </c>
      <c r="C142" s="5" t="s">
        <v>506</v>
      </c>
    </row>
    <row r="143" customFormat="false" ht="15" hidden="false" customHeight="false" outlineLevel="0" collapsed="false">
      <c r="A143" s="5" t="s">
        <v>1163</v>
      </c>
      <c r="B143" s="5" t="n">
        <v>87.5695</v>
      </c>
      <c r="C143" s="5" t="s">
        <v>506</v>
      </c>
    </row>
    <row r="144" customFormat="false" ht="15" hidden="false" customHeight="false" outlineLevel="0" collapsed="false">
      <c r="A144" s="5" t="s">
        <v>1023</v>
      </c>
      <c r="B144" s="5" t="n">
        <v>88.3214</v>
      </c>
      <c r="C144" s="5" t="s">
        <v>506</v>
      </c>
    </row>
    <row r="145" customFormat="false" ht="15" hidden="false" customHeight="false" outlineLevel="0" collapsed="false">
      <c r="A145" s="5" t="s">
        <v>1164</v>
      </c>
      <c r="B145" s="5" t="n">
        <v>88.3691</v>
      </c>
      <c r="C145" s="5" t="s">
        <v>632</v>
      </c>
    </row>
    <row r="146" customFormat="false" ht="15" hidden="false" customHeight="false" outlineLevel="0" collapsed="false">
      <c r="A146" s="5" t="s">
        <v>1165</v>
      </c>
      <c r="B146" s="5" t="n">
        <v>88.8444</v>
      </c>
      <c r="C146" s="5" t="s">
        <v>632</v>
      </c>
    </row>
    <row r="147" customFormat="false" ht="15" hidden="false" customHeight="false" outlineLevel="0" collapsed="false">
      <c r="A147" s="5" t="s">
        <v>1166</v>
      </c>
      <c r="B147" s="5" t="n">
        <v>90.035</v>
      </c>
      <c r="C147" s="5" t="s">
        <v>632</v>
      </c>
    </row>
    <row r="148" customFormat="false" ht="15" hidden="false" customHeight="false" outlineLevel="0" collapsed="false">
      <c r="A148" s="5" t="s">
        <v>1167</v>
      </c>
      <c r="B148" s="5" t="n">
        <v>90.9025</v>
      </c>
      <c r="C148" s="5" t="s">
        <v>372</v>
      </c>
    </row>
    <row r="149" customFormat="false" ht="15" hidden="false" customHeight="false" outlineLevel="0" collapsed="false">
      <c r="A149" s="5" t="s">
        <v>1168</v>
      </c>
      <c r="B149" s="5" t="n">
        <v>90.7458</v>
      </c>
      <c r="C149" s="5" t="s">
        <v>372</v>
      </c>
    </row>
    <row r="150" customFormat="false" ht="15" hidden="false" customHeight="false" outlineLevel="0" collapsed="false">
      <c r="A150" s="5" t="s">
        <v>1001</v>
      </c>
      <c r="B150" s="5" t="n">
        <v>92.8182</v>
      </c>
      <c r="C150" s="5" t="s">
        <v>372</v>
      </c>
    </row>
    <row r="151" customFormat="false" ht="15" hidden="false" customHeight="false" outlineLevel="0" collapsed="false">
      <c r="A151" s="5" t="s">
        <v>1027</v>
      </c>
      <c r="B151" s="5" t="n">
        <v>93.4805</v>
      </c>
      <c r="C151" s="5" t="s">
        <v>120</v>
      </c>
    </row>
    <row r="152" customFormat="false" ht="15" hidden="false" customHeight="false" outlineLevel="0" collapsed="false">
      <c r="A152" s="5" t="s">
        <v>1169</v>
      </c>
      <c r="B152" s="5" t="n">
        <v>95.5335</v>
      </c>
      <c r="C152" s="5" t="s">
        <v>120</v>
      </c>
    </row>
    <row r="153" customFormat="false" ht="15" hidden="false" customHeight="false" outlineLevel="0" collapsed="false">
      <c r="A153" s="5" t="s">
        <v>1170</v>
      </c>
      <c r="B153" s="5" t="n">
        <v>94.96</v>
      </c>
      <c r="C153" s="5" t="s">
        <v>120</v>
      </c>
    </row>
    <row r="154" customFormat="false" ht="15" hidden="false" customHeight="false" outlineLevel="0" collapsed="false">
      <c r="A154" s="5" t="s">
        <v>1171</v>
      </c>
      <c r="B154" s="5" t="n">
        <v>95.8573</v>
      </c>
      <c r="C154" s="5" t="s">
        <v>223</v>
      </c>
    </row>
    <row r="155" customFormat="false" ht="15" hidden="false" customHeight="false" outlineLevel="0" collapsed="false">
      <c r="A155" s="5" t="s">
        <v>1172</v>
      </c>
      <c r="B155" s="5" t="n">
        <v>95.4443</v>
      </c>
      <c r="C155" s="5" t="s">
        <v>223</v>
      </c>
    </row>
    <row r="156" customFormat="false" ht="15" hidden="false" customHeight="false" outlineLevel="0" collapsed="false">
      <c r="A156" s="5" t="s">
        <v>1173</v>
      </c>
      <c r="B156" s="5" t="n">
        <v>95.5124</v>
      </c>
      <c r="C156" s="5"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3"/>
    <col collapsed="false" customWidth="true" hidden="false" outlineLevel="0" max="4" min="4" style="0" width="70"/>
    <col collapsed="false" customWidth="true" hidden="false" outlineLevel="0" max="5" min="5" style="0" width="22"/>
    <col collapsed="false" customWidth="true" hidden="false" outlineLevel="0" max="6" min="6" style="0" width="9"/>
    <col collapsed="false" customWidth="true" hidden="false" outlineLevel="0" max="7" min="7" style="0" width="18"/>
    <col collapsed="false" customWidth="true" hidden="false" outlineLevel="0" max="8" min="8" style="0" width="30"/>
  </cols>
  <sheetData>
    <row r="1" customFormat="false" ht="15" hidden="false" customHeight="false" outlineLevel="0" collapsed="false">
      <c r="A1" s="14" t="s">
        <v>1174</v>
      </c>
    </row>
    <row r="3" customFormat="false" ht="23.85" hidden="false" customHeight="false" outlineLevel="0" collapsed="false">
      <c r="A3" s="4" t="s">
        <v>1175</v>
      </c>
      <c r="B3" s="4" t="s">
        <v>1176</v>
      </c>
      <c r="C3" s="4" t="s">
        <v>1177</v>
      </c>
      <c r="D3" s="4" t="s">
        <v>1178</v>
      </c>
      <c r="E3" s="4" t="s">
        <v>1179</v>
      </c>
      <c r="F3" s="4" t="s">
        <v>27</v>
      </c>
      <c r="G3" s="4" t="s">
        <v>1180</v>
      </c>
      <c r="H3" s="4" t="s">
        <v>1181</v>
      </c>
    </row>
    <row r="4" customFormat="false" ht="15" hidden="false" customHeight="false" outlineLevel="0" collapsed="false">
      <c r="A4" s="5" t="s">
        <v>128</v>
      </c>
      <c r="B4" s="5" t="s">
        <v>1182</v>
      </c>
      <c r="C4" s="5" t="s">
        <v>1183</v>
      </c>
      <c r="D4" s="6" t="s">
        <v>1184</v>
      </c>
      <c r="E4" s="5" t="s">
        <v>1185</v>
      </c>
      <c r="F4" s="5" t="s">
        <v>166</v>
      </c>
      <c r="G4" s="5" t="s">
        <v>1186</v>
      </c>
      <c r="H4" s="5" t="s">
        <v>1187</v>
      </c>
    </row>
    <row r="5" customFormat="false" ht="15" hidden="false" customHeight="false" outlineLevel="0" collapsed="false">
      <c r="A5" s="5" t="s">
        <v>154</v>
      </c>
      <c r="B5" s="5" t="s">
        <v>1188</v>
      </c>
      <c r="C5" s="5" t="s">
        <v>1183</v>
      </c>
      <c r="D5" s="6" t="s">
        <v>1189</v>
      </c>
      <c r="E5" s="5" t="s">
        <v>1185</v>
      </c>
      <c r="F5" s="5" t="s">
        <v>625</v>
      </c>
      <c r="G5" s="5" t="s">
        <v>1190</v>
      </c>
      <c r="H5" s="5" t="s">
        <v>1191</v>
      </c>
    </row>
    <row r="6" customFormat="false" ht="15" hidden="false" customHeight="false" outlineLevel="0" collapsed="false">
      <c r="A6" s="5" t="s">
        <v>154</v>
      </c>
      <c r="B6" s="5" t="s">
        <v>1188</v>
      </c>
      <c r="C6" s="5" t="s">
        <v>1192</v>
      </c>
      <c r="D6" s="6" t="s">
        <v>1193</v>
      </c>
      <c r="E6" s="5" t="s">
        <v>1185</v>
      </c>
      <c r="F6" s="5" t="s">
        <v>625</v>
      </c>
      <c r="G6" s="5" t="s">
        <v>1194</v>
      </c>
      <c r="H6" s="5" t="s">
        <v>1195</v>
      </c>
    </row>
    <row r="7" customFormat="false" ht="23.85" hidden="false" customHeight="false" outlineLevel="0" collapsed="false">
      <c r="A7" s="5" t="s">
        <v>506</v>
      </c>
      <c r="B7" s="5" t="s">
        <v>1196</v>
      </c>
      <c r="C7" s="5" t="s">
        <v>1197</v>
      </c>
      <c r="D7" s="6" t="s">
        <v>1198</v>
      </c>
      <c r="E7" s="5" t="s">
        <v>1199</v>
      </c>
      <c r="F7" s="5" t="s">
        <v>503</v>
      </c>
      <c r="G7" s="5" t="s">
        <v>1200</v>
      </c>
      <c r="H7" s="5" t="s">
        <v>1201</v>
      </c>
    </row>
    <row r="8" customFormat="false" ht="23.85" hidden="false" customHeight="false" outlineLevel="0" collapsed="false">
      <c r="A8" s="5" t="s">
        <v>506</v>
      </c>
      <c r="B8" s="5" t="s">
        <v>1196</v>
      </c>
      <c r="C8" s="5" t="s">
        <v>1202</v>
      </c>
      <c r="D8" s="6" t="s">
        <v>1203</v>
      </c>
      <c r="E8" s="5" t="s">
        <v>1199</v>
      </c>
      <c r="F8" s="5" t="s">
        <v>503</v>
      </c>
      <c r="G8" s="5" t="s">
        <v>1204</v>
      </c>
      <c r="H8" s="5" t="s">
        <v>1205</v>
      </c>
    </row>
    <row r="9" customFormat="false" ht="15" hidden="false" customHeight="false" outlineLevel="0" collapsed="false">
      <c r="A9" s="5" t="s">
        <v>506</v>
      </c>
      <c r="B9" s="5" t="s">
        <v>1196</v>
      </c>
      <c r="C9" s="5" t="s">
        <v>1206</v>
      </c>
      <c r="D9" s="6" t="s">
        <v>1207</v>
      </c>
      <c r="E9" s="5" t="s">
        <v>1185</v>
      </c>
      <c r="F9" s="5" t="s">
        <v>503</v>
      </c>
      <c r="G9" s="5" t="s">
        <v>1208</v>
      </c>
      <c r="H9" s="5" t="s">
        <v>1201</v>
      </c>
    </row>
    <row r="10" customFormat="false" ht="15" hidden="false" customHeight="false" outlineLevel="0" collapsed="false">
      <c r="A10" s="5" t="s">
        <v>632</v>
      </c>
      <c r="B10" s="5" t="s">
        <v>1209</v>
      </c>
      <c r="C10" s="5" t="s">
        <v>1202</v>
      </c>
      <c r="D10" s="6" t="s">
        <v>1210</v>
      </c>
      <c r="E10" s="5" t="s">
        <v>1199</v>
      </c>
      <c r="F10" s="5" t="s">
        <v>629</v>
      </c>
      <c r="G10" s="5" t="s">
        <v>1204</v>
      </c>
      <c r="H10" s="5" t="s">
        <v>1201</v>
      </c>
    </row>
    <row r="11" customFormat="false" ht="15" hidden="false" customHeight="false" outlineLevel="0" collapsed="false">
      <c r="A11" s="5" t="s">
        <v>632</v>
      </c>
      <c r="B11" s="5" t="s">
        <v>1209</v>
      </c>
      <c r="C11" s="5" t="s">
        <v>1206</v>
      </c>
      <c r="D11" s="6" t="s">
        <v>1211</v>
      </c>
      <c r="E11" s="5" t="s">
        <v>1185</v>
      </c>
      <c r="F11" s="5" t="s">
        <v>629</v>
      </c>
      <c r="G11" s="5" t="s">
        <v>1208</v>
      </c>
      <c r="H11" s="5" t="s">
        <v>1201</v>
      </c>
    </row>
    <row r="12" customFormat="false" ht="15" hidden="false" customHeight="false" outlineLevel="0" collapsed="false">
      <c r="A12" s="5" t="s">
        <v>372</v>
      </c>
      <c r="B12" s="5" t="s">
        <v>1212</v>
      </c>
      <c r="C12" s="5" t="s">
        <v>1192</v>
      </c>
      <c r="D12" s="6" t="s">
        <v>1213</v>
      </c>
      <c r="E12" s="5" t="s">
        <v>1185</v>
      </c>
      <c r="F12" s="5" t="s">
        <v>634</v>
      </c>
      <c r="G12" s="5" t="s">
        <v>1214</v>
      </c>
      <c r="H12" s="5" t="s">
        <v>1201</v>
      </c>
    </row>
    <row r="13" customFormat="false" ht="15" hidden="false" customHeight="false" outlineLevel="0" collapsed="false">
      <c r="A13" s="5" t="s">
        <v>120</v>
      </c>
      <c r="B13" s="5" t="s">
        <v>1215</v>
      </c>
      <c r="C13" s="5" t="s">
        <v>1183</v>
      </c>
      <c r="D13" s="5" t="s">
        <v>1216</v>
      </c>
      <c r="E13" s="5" t="s">
        <v>1185</v>
      </c>
      <c r="F13" s="5" t="s">
        <v>509</v>
      </c>
      <c r="G13" s="5" t="s">
        <v>1217</v>
      </c>
      <c r="H13" s="5" t="s">
        <v>1201</v>
      </c>
    </row>
    <row r="14" customFormat="false" ht="15" hidden="false" customHeight="false" outlineLevel="0" collapsed="false">
      <c r="A14" s="5" t="s">
        <v>223</v>
      </c>
      <c r="B14" s="5" t="s">
        <v>1218</v>
      </c>
      <c r="C14" s="5" t="s">
        <v>1197</v>
      </c>
      <c r="D14" s="6" t="s">
        <v>1219</v>
      </c>
      <c r="E14" s="5" t="s">
        <v>1185</v>
      </c>
      <c r="F14" s="5" t="s">
        <v>513</v>
      </c>
      <c r="G14" s="5" t="s">
        <v>1220</v>
      </c>
      <c r="H14" s="5" t="s">
        <v>1221</v>
      </c>
    </row>
    <row r="15" customFormat="false" ht="15" hidden="false" customHeight="false" outlineLevel="0" collapsed="false">
      <c r="A15" s="5" t="s">
        <v>223</v>
      </c>
      <c r="B15" s="5" t="s">
        <v>1218</v>
      </c>
      <c r="C15" s="5" t="s">
        <v>1183</v>
      </c>
      <c r="D15" s="6" t="s">
        <v>1222</v>
      </c>
      <c r="E15" s="5" t="s">
        <v>1185</v>
      </c>
      <c r="F15" s="5" t="s">
        <v>513</v>
      </c>
      <c r="G15" s="5" t="s">
        <v>1186</v>
      </c>
      <c r="H15" s="5" t="s">
        <v>1201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6"/>
    <col collapsed="false" customWidth="true" hidden="false" outlineLevel="0" max="5" min="4" style="0" width="12"/>
    <col collapsed="false" customWidth="true" hidden="false" outlineLevel="0" max="6" min="6" style="0" width="6"/>
    <col collapsed="false" customWidth="true" hidden="false" outlineLevel="0" max="7" min="7" style="0" width="11"/>
    <col collapsed="false" customWidth="true" hidden="false" outlineLevel="0" max="8" min="8" style="0" width="10"/>
    <col collapsed="false" customWidth="true" hidden="false" outlineLevel="0" max="9" min="9" style="0" width="11"/>
    <col collapsed="false" customWidth="true" hidden="false" outlineLevel="0" max="10" min="10" style="0" width="60"/>
    <col collapsed="false" customWidth="true" hidden="false" outlineLevel="0" max="11" min="11" style="0" width="22"/>
    <col collapsed="false" customWidth="true" hidden="false" outlineLevel="0" max="12" min="12" style="0" width="10"/>
    <col collapsed="false" customWidth="true" hidden="false" outlineLevel="0" max="13" min="13" style="0" width="40"/>
  </cols>
  <sheetData>
    <row r="1" customFormat="false" ht="35.05" hidden="false" customHeight="false" outlineLevel="0" collapsed="false">
      <c r="A1" s="4" t="s">
        <v>1223</v>
      </c>
      <c r="B1" s="4" t="s">
        <v>769</v>
      </c>
      <c r="C1" s="4" t="s">
        <v>1175</v>
      </c>
      <c r="D1" s="4" t="s">
        <v>1224</v>
      </c>
      <c r="E1" s="4" t="s">
        <v>1225</v>
      </c>
      <c r="F1" s="4" t="s">
        <v>1226</v>
      </c>
      <c r="G1" s="4" t="s">
        <v>1227</v>
      </c>
      <c r="H1" s="4" t="s">
        <v>1228</v>
      </c>
      <c r="I1" s="4" t="s">
        <v>1229</v>
      </c>
      <c r="J1" s="4" t="s">
        <v>1230</v>
      </c>
      <c r="K1" s="4" t="s">
        <v>1179</v>
      </c>
      <c r="L1" s="4" t="s">
        <v>27</v>
      </c>
      <c r="M1" s="4" t="s">
        <v>772</v>
      </c>
    </row>
    <row r="2" customFormat="false" ht="23.85" hidden="false" customHeight="false" outlineLevel="0" collapsed="false">
      <c r="A2" s="5" t="s">
        <v>1231</v>
      </c>
      <c r="B2" s="5" t="s">
        <v>874</v>
      </c>
      <c r="C2" s="5" t="s">
        <v>133</v>
      </c>
      <c r="D2" s="5" t="n">
        <v>-150</v>
      </c>
      <c r="E2" s="5" t="n">
        <v>-40</v>
      </c>
      <c r="F2" s="5" t="s">
        <v>1232</v>
      </c>
      <c r="G2" s="5" t="n">
        <v>84.7</v>
      </c>
      <c r="H2" s="5" t="n">
        <v>-2.3</v>
      </c>
      <c r="I2" s="13" t="n">
        <f aca="false">IF(AND(ISNUMBER(E2),ISNUMBER(H2),H2&lt;&gt;0),E2/H2,"")</f>
        <v>17.3913043478261</v>
      </c>
      <c r="J2" s="6" t="s">
        <v>1233</v>
      </c>
      <c r="K2" s="5" t="s">
        <v>1234</v>
      </c>
      <c r="L2" s="5" t="s">
        <v>1235</v>
      </c>
      <c r="M2" s="6" t="s">
        <v>1236</v>
      </c>
    </row>
    <row r="3" customFormat="false" ht="23.85" hidden="false" customHeight="false" outlineLevel="0" collapsed="false">
      <c r="A3" s="5" t="s">
        <v>1237</v>
      </c>
      <c r="B3" s="5" t="s">
        <v>931</v>
      </c>
      <c r="C3" s="5" t="s">
        <v>154</v>
      </c>
      <c r="D3" s="5" t="n">
        <v>-161</v>
      </c>
      <c r="E3" s="5" t="n">
        <v>-80</v>
      </c>
      <c r="F3" s="5" t="s">
        <v>1232</v>
      </c>
      <c r="G3" s="5"/>
      <c r="H3" s="5"/>
      <c r="I3" s="13" t="str">
        <f aca="false">IF(AND(ISNUMBER(E3),ISNUMBER(H3),H3&lt;&gt;0),E3/H3,"")</f>
        <v/>
      </c>
      <c r="J3" s="6" t="s">
        <v>1238</v>
      </c>
      <c r="K3" s="5" t="s">
        <v>1239</v>
      </c>
      <c r="L3" s="5" t="s">
        <v>1240</v>
      </c>
      <c r="M3" s="6" t="s">
        <v>1241</v>
      </c>
    </row>
    <row r="4" customFormat="false" ht="35.05" hidden="false" customHeight="false" outlineLevel="0" collapsed="false">
      <c r="A4" s="5" t="s">
        <v>1242</v>
      </c>
      <c r="B4" s="5" t="s">
        <v>874</v>
      </c>
      <c r="C4" s="5" t="s">
        <v>836</v>
      </c>
      <c r="D4" s="5"/>
      <c r="E4" s="5" t="n">
        <v>80</v>
      </c>
      <c r="F4" s="5" t="s">
        <v>1232</v>
      </c>
      <c r="G4" s="5" t="n">
        <v>83.6</v>
      </c>
      <c r="H4" s="5" t="n">
        <v>2.4</v>
      </c>
      <c r="I4" s="13" t="n">
        <f aca="false">IF(AND(ISNUMBER(E4),ISNUMBER(H4),H4&lt;&gt;0),E4/H4,"")</f>
        <v>33.3333333333333</v>
      </c>
      <c r="J4" s="6" t="s">
        <v>1243</v>
      </c>
      <c r="K4" s="5" t="s">
        <v>1244</v>
      </c>
      <c r="L4" s="5" t="s">
        <v>1245</v>
      </c>
      <c r="M4" s="6" t="s">
        <v>1246</v>
      </c>
    </row>
    <row r="5" customFormat="false" ht="23.85" hidden="false" customHeight="false" outlineLevel="0" collapsed="false">
      <c r="A5" s="5" t="s">
        <v>1247</v>
      </c>
      <c r="B5" s="5" t="s">
        <v>874</v>
      </c>
      <c r="C5" s="5" t="s">
        <v>79</v>
      </c>
      <c r="D5" s="5"/>
      <c r="E5" s="5" t="n">
        <v>100</v>
      </c>
      <c r="F5" s="5" t="s">
        <v>1248</v>
      </c>
      <c r="G5" s="5" t="n">
        <v>86.3</v>
      </c>
      <c r="H5" s="5"/>
      <c r="I5" s="13" t="str">
        <f aca="false">IF(AND(ISNUMBER(E5),ISNUMBER(H5),H5&lt;&gt;0),E5/H5,"")</f>
        <v/>
      </c>
      <c r="J5" s="6" t="s">
        <v>1249</v>
      </c>
      <c r="K5" s="5" t="s">
        <v>1234</v>
      </c>
      <c r="L5" s="5" t="s">
        <v>136</v>
      </c>
      <c r="M5" s="6" t="s">
        <v>1250</v>
      </c>
    </row>
    <row r="6" customFormat="false" ht="23.85" hidden="false" customHeight="false" outlineLevel="0" collapsed="false">
      <c r="A6" s="5" t="s">
        <v>1251</v>
      </c>
      <c r="B6" s="5" t="s">
        <v>874</v>
      </c>
      <c r="C6" s="5" t="s">
        <v>161</v>
      </c>
      <c r="D6" s="5" t="n">
        <v>0</v>
      </c>
      <c r="E6" s="5" t="n">
        <v>-80</v>
      </c>
      <c r="F6" s="5" t="s">
        <v>1248</v>
      </c>
      <c r="G6" s="5" t="n">
        <v>81.7</v>
      </c>
      <c r="H6" s="5" t="n">
        <v>-1.9</v>
      </c>
      <c r="I6" s="13" t="n">
        <f aca="false">IF(AND(ISNUMBER(E6),ISNUMBER(H6),H6&lt;&gt;0),E6/H6,"")</f>
        <v>42.1052631578947</v>
      </c>
      <c r="J6" s="6" t="s">
        <v>1252</v>
      </c>
      <c r="K6" s="5" t="s">
        <v>1234</v>
      </c>
      <c r="L6" s="5" t="s">
        <v>158</v>
      </c>
      <c r="M6" s="6" t="s">
        <v>1253</v>
      </c>
    </row>
    <row r="7" customFormat="false" ht="23.85" hidden="false" customHeight="false" outlineLevel="0" collapsed="false">
      <c r="A7" s="5" t="s">
        <v>1254</v>
      </c>
      <c r="B7" s="5" t="s">
        <v>874</v>
      </c>
      <c r="C7" s="5" t="s">
        <v>165</v>
      </c>
      <c r="D7" s="5" t="n">
        <v>40</v>
      </c>
      <c r="E7" s="5" t="n">
        <v>50</v>
      </c>
      <c r="F7" s="5" t="s">
        <v>1248</v>
      </c>
      <c r="G7" s="5" t="n">
        <v>81.8</v>
      </c>
      <c r="H7" s="5" t="n">
        <v>0.7</v>
      </c>
      <c r="I7" s="13" t="n">
        <f aca="false">IF(AND(ISNUMBER(E7),ISNUMBER(H7),H7&lt;&gt;0),E7/H7,"")</f>
        <v>71.4285714285714</v>
      </c>
      <c r="J7" s="6" t="s">
        <v>1255</v>
      </c>
      <c r="K7" s="5" t="s">
        <v>1234</v>
      </c>
      <c r="L7" s="5" t="s">
        <v>162</v>
      </c>
      <c r="M7" s="5" t="s">
        <v>1256</v>
      </c>
    </row>
    <row r="8" customFormat="false" ht="23.85" hidden="false" customHeight="false" outlineLevel="0" collapsed="false">
      <c r="A8" s="5" t="s">
        <v>1257</v>
      </c>
      <c r="B8" s="5" t="s">
        <v>778</v>
      </c>
      <c r="C8" s="5" t="s">
        <v>175</v>
      </c>
      <c r="D8" s="5" t="n">
        <v>140</v>
      </c>
      <c r="E8" s="5" t="n">
        <v>100</v>
      </c>
      <c r="F8" s="5" t="s">
        <v>1248</v>
      </c>
      <c r="G8" s="5"/>
      <c r="H8" s="5"/>
      <c r="I8" s="13" t="str">
        <f aca="false">IF(AND(ISNUMBER(E8),ISNUMBER(H8),H8&lt;&gt;0),E8/H8,"")</f>
        <v/>
      </c>
      <c r="J8" s="6" t="s">
        <v>1258</v>
      </c>
      <c r="K8" s="5" t="s">
        <v>1259</v>
      </c>
      <c r="L8" s="5" t="s">
        <v>171</v>
      </c>
      <c r="M8" s="6" t="s">
        <v>1260</v>
      </c>
    </row>
    <row r="9" customFormat="false" ht="23.85" hidden="false" customHeight="false" outlineLevel="0" collapsed="false">
      <c r="A9" s="5" t="s">
        <v>1261</v>
      </c>
      <c r="B9" s="5" t="s">
        <v>931</v>
      </c>
      <c r="C9" s="5" t="s">
        <v>165</v>
      </c>
      <c r="D9" s="5" t="n">
        <v>154</v>
      </c>
      <c r="E9" s="5"/>
      <c r="F9" s="5" t="s">
        <v>1248</v>
      </c>
      <c r="G9" s="5"/>
      <c r="H9" s="5"/>
      <c r="I9" s="13" t="str">
        <f aca="false">IF(AND(ISNUMBER(E9),ISNUMBER(H9),H9&lt;&gt;0),E9/H9,"")</f>
        <v/>
      </c>
      <c r="J9" s="6" t="s">
        <v>1262</v>
      </c>
      <c r="K9" s="5" t="s">
        <v>1263</v>
      </c>
      <c r="L9" s="5" t="s">
        <v>193</v>
      </c>
      <c r="M9" s="5" t="s">
        <v>1264</v>
      </c>
    </row>
    <row r="10" customFormat="false" ht="23.85" hidden="false" customHeight="false" outlineLevel="0" collapsed="false">
      <c r="A10" s="5" t="s">
        <v>1265</v>
      </c>
      <c r="B10" s="5" t="s">
        <v>874</v>
      </c>
      <c r="C10" s="5" t="s">
        <v>120</v>
      </c>
      <c r="D10" s="5"/>
      <c r="E10" s="5"/>
      <c r="F10" s="5" t="s">
        <v>1266</v>
      </c>
      <c r="G10" s="5" t="n">
        <v>84.9</v>
      </c>
      <c r="H10" s="5" t="n">
        <v>1.9</v>
      </c>
      <c r="I10" s="13" t="str">
        <f aca="false">IF(AND(ISNUMBER(E10),ISNUMBER(H10),H10&lt;&gt;0),E10/H10,"")</f>
        <v/>
      </c>
      <c r="J10" s="6" t="s">
        <v>1267</v>
      </c>
      <c r="K10" s="5" t="s">
        <v>1268</v>
      </c>
      <c r="L10" s="5" t="s">
        <v>116</v>
      </c>
      <c r="M10" s="5" t="s">
        <v>1269</v>
      </c>
    </row>
    <row r="11" customFormat="false" ht="23.85" hidden="false" customHeight="false" outlineLevel="0" collapsed="false">
      <c r="A11" s="5" t="s">
        <v>1270</v>
      </c>
      <c r="B11" s="5" t="s">
        <v>874</v>
      </c>
      <c r="C11" s="5" t="s">
        <v>154</v>
      </c>
      <c r="D11" s="5" t="n">
        <v>-20</v>
      </c>
      <c r="E11" s="5"/>
      <c r="F11" s="5" t="s">
        <v>1266</v>
      </c>
      <c r="G11" s="5" t="n">
        <v>85.2</v>
      </c>
      <c r="H11" s="5" t="n">
        <v>0.3</v>
      </c>
      <c r="I11" s="13" t="str">
        <f aca="false">IF(AND(ISNUMBER(E11),ISNUMBER(H11),H11&lt;&gt;0),E11/H11,"")</f>
        <v/>
      </c>
      <c r="J11" s="6" t="s">
        <v>1271</v>
      </c>
      <c r="K11" s="5" t="s">
        <v>1268</v>
      </c>
      <c r="L11" s="5" t="s">
        <v>150</v>
      </c>
      <c r="M11" s="5" t="s">
        <v>1272</v>
      </c>
    </row>
    <row r="12" customFormat="false" ht="15" hidden="false" customHeight="false" outlineLevel="0" collapsed="false">
      <c r="A12" s="5" t="s">
        <v>1273</v>
      </c>
      <c r="B12" s="5" t="s">
        <v>874</v>
      </c>
      <c r="C12" s="5" t="s">
        <v>148</v>
      </c>
      <c r="D12" s="5" t="n">
        <v>0</v>
      </c>
      <c r="E12" s="5"/>
      <c r="F12" s="5" t="s">
        <v>1266</v>
      </c>
      <c r="G12" s="5" t="n">
        <v>85.9</v>
      </c>
      <c r="H12" s="5" t="n">
        <v>0.6</v>
      </c>
      <c r="I12" s="13" t="str">
        <f aca="false">IF(AND(ISNUMBER(E12),ISNUMBER(H12),H12&lt;&gt;0),E12/H12,"")</f>
        <v/>
      </c>
      <c r="J12" s="6" t="s">
        <v>1274</v>
      </c>
      <c r="K12" s="5" t="s">
        <v>1268</v>
      </c>
      <c r="L12" s="5" t="s">
        <v>145</v>
      </c>
      <c r="M12" s="5" t="s">
        <v>1272</v>
      </c>
    </row>
    <row r="13" customFormat="false" ht="15" hidden="false" customHeight="false" outlineLevel="0" collapsed="false">
      <c r="A13" s="5" t="s">
        <v>1275</v>
      </c>
      <c r="B13" s="5" t="s">
        <v>874</v>
      </c>
      <c r="C13" s="5" t="s">
        <v>143</v>
      </c>
      <c r="D13" s="5"/>
      <c r="E13" s="5"/>
      <c r="F13" s="5" t="s">
        <v>1266</v>
      </c>
      <c r="G13" s="5" t="n">
        <v>86</v>
      </c>
      <c r="H13" s="5"/>
      <c r="I13" s="13" t="str">
        <f aca="false">IF(AND(ISNUMBER(E13),ISNUMBER(H13),H13&lt;&gt;0),E13/H13,"")</f>
        <v/>
      </c>
      <c r="J13" s="6" t="s">
        <v>1276</v>
      </c>
      <c r="K13" s="5" t="s">
        <v>1268</v>
      </c>
      <c r="L13" s="5" t="s">
        <v>140</v>
      </c>
      <c r="M13" s="5"/>
    </row>
    <row r="14" customFormat="false" ht="15" hidden="false" customHeight="false" outlineLevel="0" collapsed="false">
      <c r="A14" s="5" t="s">
        <v>1277</v>
      </c>
      <c r="B14" s="5" t="s">
        <v>874</v>
      </c>
      <c r="C14" s="5" t="s">
        <v>128</v>
      </c>
      <c r="D14" s="5"/>
      <c r="E14" s="5"/>
      <c r="F14" s="5" t="s">
        <v>1266</v>
      </c>
      <c r="G14" s="5" t="n">
        <v>84.9</v>
      </c>
      <c r="H14" s="5"/>
      <c r="I14" s="13" t="str">
        <f aca="false">IF(AND(ISNUMBER(E14),ISNUMBER(H14),H14&lt;&gt;0),E14/H14,"")</f>
        <v/>
      </c>
      <c r="J14" s="6" t="s">
        <v>1278</v>
      </c>
      <c r="K14" s="5" t="s">
        <v>1268</v>
      </c>
      <c r="L14" s="5" t="s">
        <v>125</v>
      </c>
      <c r="M14" s="5"/>
    </row>
    <row r="15" customFormat="false" ht="23.85" hidden="false" customHeight="false" outlineLevel="0" collapsed="false">
      <c r="A15" s="5" t="s">
        <v>1279</v>
      </c>
      <c r="B15" s="5" t="s">
        <v>905</v>
      </c>
      <c r="C15" s="5" t="s">
        <v>128</v>
      </c>
      <c r="D15" s="5" t="n">
        <v>-30</v>
      </c>
      <c r="E15" s="5"/>
      <c r="F15" s="5" t="s">
        <v>1266</v>
      </c>
      <c r="G15" s="5"/>
      <c r="H15" s="5"/>
      <c r="I15" s="13" t="str">
        <f aca="false">IF(AND(ISNUMBER(E15),ISNUMBER(H15),H15&lt;&gt;0),E15/H15,"")</f>
        <v/>
      </c>
      <c r="J15" s="6" t="s">
        <v>1184</v>
      </c>
      <c r="K15" s="5" t="s">
        <v>1185</v>
      </c>
      <c r="L15" s="5" t="s">
        <v>166</v>
      </c>
      <c r="M15" s="6" t="s">
        <v>1280</v>
      </c>
    </row>
    <row r="16" customFormat="false" ht="15" hidden="false" customHeight="false" outlineLevel="0" collapsed="false">
      <c r="A16" s="5" t="s">
        <v>1281</v>
      </c>
      <c r="B16" s="5" t="s">
        <v>376</v>
      </c>
      <c r="C16" s="5" t="s">
        <v>154</v>
      </c>
      <c r="D16" s="5" t="n">
        <v>60</v>
      </c>
      <c r="E16" s="5"/>
      <c r="F16" s="5" t="s">
        <v>1266</v>
      </c>
      <c r="G16" s="5"/>
      <c r="H16" s="5"/>
      <c r="I16" s="13" t="str">
        <f aca="false">IF(AND(ISNUMBER(E16),ISNUMBER(H16),H16&lt;&gt;0),E16/H16,"")</f>
        <v/>
      </c>
      <c r="J16" s="6" t="s">
        <v>1282</v>
      </c>
      <c r="K16" s="5" t="s">
        <v>1283</v>
      </c>
      <c r="L16" s="5" t="s">
        <v>198</v>
      </c>
      <c r="M16" s="5" t="s">
        <v>1284</v>
      </c>
    </row>
    <row r="17" customFormat="false" ht="23.85" hidden="false" customHeight="false" outlineLevel="0" collapsed="false">
      <c r="A17" s="5" t="s">
        <v>1285</v>
      </c>
      <c r="B17" s="5" t="s">
        <v>931</v>
      </c>
      <c r="C17" s="5" t="s">
        <v>1286</v>
      </c>
      <c r="D17" s="5"/>
      <c r="E17" s="5"/>
      <c r="F17" s="5" t="s">
        <v>1266</v>
      </c>
      <c r="G17" s="5"/>
      <c r="H17" s="5"/>
      <c r="I17" s="13" t="str">
        <f aca="false">IF(AND(ISNUMBER(E17),ISNUMBER(H17),H17&lt;&gt;0),E17/H17,"")</f>
        <v/>
      </c>
      <c r="J17" s="6" t="s">
        <v>1287</v>
      </c>
      <c r="K17" s="5" t="s">
        <v>1239</v>
      </c>
      <c r="L17" s="5" t="s">
        <v>178</v>
      </c>
      <c r="M17" s="6" t="s">
        <v>1288</v>
      </c>
    </row>
    <row r="18" customFormat="false" ht="23.85" hidden="false" customHeight="false" outlineLevel="0" collapsed="false">
      <c r="A18" s="5" t="s">
        <v>1289</v>
      </c>
      <c r="B18" s="5" t="s">
        <v>874</v>
      </c>
      <c r="C18" s="5" t="s">
        <v>461</v>
      </c>
      <c r="D18" s="5" t="n">
        <v>-100</v>
      </c>
      <c r="E18" s="5" t="n">
        <v>70</v>
      </c>
      <c r="F18" s="5" t="s">
        <v>1232</v>
      </c>
      <c r="G18" s="5" t="n">
        <v>83.1</v>
      </c>
      <c r="H18" s="5" t="n">
        <v>0.8</v>
      </c>
      <c r="I18" s="13" t="n">
        <f aca="false">IF(AND(ISNUMBER(E18),ISNUMBER(H18),H18&lt;&gt;0),E18/H18,"")</f>
        <v>87.5</v>
      </c>
      <c r="J18" s="6" t="s">
        <v>1290</v>
      </c>
      <c r="K18" s="5" t="s">
        <v>1234</v>
      </c>
      <c r="L18" s="5" t="s">
        <v>1291</v>
      </c>
      <c r="M18" s="6" t="s">
        <v>1292</v>
      </c>
    </row>
    <row r="19" customFormat="false" ht="23.85" hidden="false" customHeight="false" outlineLevel="0" collapsed="false">
      <c r="A19" s="5" t="s">
        <v>1293</v>
      </c>
      <c r="B19" s="5" t="s">
        <v>874</v>
      </c>
      <c r="C19" s="5" t="s">
        <v>1294</v>
      </c>
      <c r="D19" s="5"/>
      <c r="E19" s="5" t="n">
        <v>40</v>
      </c>
      <c r="F19" s="5" t="s">
        <v>1232</v>
      </c>
      <c r="G19" s="5" t="n">
        <v>85.6</v>
      </c>
      <c r="H19" s="5"/>
      <c r="I19" s="13" t="str">
        <f aca="false">IF(AND(ISNUMBER(E19),ISNUMBER(H19),H19&lt;&gt;0),E19/H19,"")</f>
        <v/>
      </c>
      <c r="J19" s="6" t="s">
        <v>1295</v>
      </c>
      <c r="K19" s="5" t="s">
        <v>1296</v>
      </c>
      <c r="L19" s="5" t="s">
        <v>473</v>
      </c>
      <c r="M19" s="6" t="s">
        <v>1297</v>
      </c>
    </row>
    <row r="20" customFormat="false" ht="23.85" hidden="false" customHeight="false" outlineLevel="0" collapsed="false">
      <c r="A20" s="5" t="s">
        <v>1298</v>
      </c>
      <c r="B20" s="5" t="s">
        <v>874</v>
      </c>
      <c r="C20" s="5" t="s">
        <v>439</v>
      </c>
      <c r="D20" s="5" t="n">
        <v>-110</v>
      </c>
      <c r="E20" s="5" t="n">
        <v>-80</v>
      </c>
      <c r="F20" s="5" t="s">
        <v>1248</v>
      </c>
      <c r="G20" s="5" t="n">
        <v>83.8</v>
      </c>
      <c r="H20" s="5" t="n">
        <v>-1.8</v>
      </c>
      <c r="I20" s="13" t="n">
        <f aca="false">IF(AND(ISNUMBER(E20),ISNUMBER(H20),H20&lt;&gt;0),E20/H20,"")</f>
        <v>44.4444444444444</v>
      </c>
      <c r="J20" s="6" t="s">
        <v>1299</v>
      </c>
      <c r="K20" s="5" t="s">
        <v>1268</v>
      </c>
      <c r="L20" s="5" t="s">
        <v>478</v>
      </c>
      <c r="M20" s="6" t="s">
        <v>1300</v>
      </c>
    </row>
    <row r="21" customFormat="false" ht="23.85" hidden="false" customHeight="false" outlineLevel="0" collapsed="false">
      <c r="A21" s="5" t="s">
        <v>1301</v>
      </c>
      <c r="B21" s="5" t="s">
        <v>874</v>
      </c>
      <c r="C21" s="5" t="s">
        <v>471</v>
      </c>
      <c r="D21" s="5" t="n">
        <v>40</v>
      </c>
      <c r="E21" s="5"/>
      <c r="F21" s="5" t="s">
        <v>1248</v>
      </c>
      <c r="G21" s="5" t="n">
        <v>84.7</v>
      </c>
      <c r="H21" s="5"/>
      <c r="I21" s="13" t="str">
        <f aca="false">IF(AND(ISNUMBER(E21),ISNUMBER(H21),H21&lt;&gt;0),E21/H21,"")</f>
        <v/>
      </c>
      <c r="J21" s="6" t="s">
        <v>1302</v>
      </c>
      <c r="K21" s="5" t="s">
        <v>1296</v>
      </c>
      <c r="L21" s="5" t="s">
        <v>468</v>
      </c>
      <c r="M21" s="6" t="s">
        <v>1303</v>
      </c>
    </row>
    <row r="22" customFormat="false" ht="23.85" hidden="false" customHeight="false" outlineLevel="0" collapsed="false">
      <c r="A22" s="5" t="s">
        <v>1304</v>
      </c>
      <c r="B22" s="5" t="s">
        <v>874</v>
      </c>
      <c r="C22" s="5" t="s">
        <v>485</v>
      </c>
      <c r="D22" s="5" t="n">
        <v>120</v>
      </c>
      <c r="E22" s="5" t="n">
        <v>110</v>
      </c>
      <c r="F22" s="5" t="s">
        <v>1248</v>
      </c>
      <c r="G22" s="5" t="n">
        <v>84.9</v>
      </c>
      <c r="H22" s="5" t="n">
        <v>1.8</v>
      </c>
      <c r="I22" s="13" t="n">
        <f aca="false">IF(AND(ISNUMBER(E22),ISNUMBER(H22),H22&lt;&gt;0),E22/H22,"")</f>
        <v>61.1111111111111</v>
      </c>
      <c r="J22" s="6" t="s">
        <v>1305</v>
      </c>
      <c r="K22" s="5" t="s">
        <v>1234</v>
      </c>
      <c r="L22" s="5" t="s">
        <v>481</v>
      </c>
      <c r="M22" s="5" t="s">
        <v>1306</v>
      </c>
    </row>
    <row r="23" customFormat="false" ht="23.85" hidden="false" customHeight="false" outlineLevel="0" collapsed="false">
      <c r="A23" s="5" t="s">
        <v>1307</v>
      </c>
      <c r="B23" s="5" t="s">
        <v>376</v>
      </c>
      <c r="C23" s="5" t="s">
        <v>439</v>
      </c>
      <c r="D23" s="5" t="n">
        <v>50</v>
      </c>
      <c r="E23" s="5" t="n">
        <v>40</v>
      </c>
      <c r="F23" s="5" t="s">
        <v>1232</v>
      </c>
      <c r="G23" s="5"/>
      <c r="H23" s="5"/>
      <c r="I23" s="13" t="str">
        <f aca="false">IF(AND(ISNUMBER(E23),ISNUMBER(H23),H23&lt;&gt;0),E23/H23,"")</f>
        <v/>
      </c>
      <c r="J23" s="6" t="s">
        <v>1308</v>
      </c>
      <c r="K23" s="5" t="s">
        <v>1309</v>
      </c>
      <c r="L23" s="5" t="s">
        <v>487</v>
      </c>
      <c r="M23" s="6" t="s">
        <v>1310</v>
      </c>
    </row>
    <row r="24" customFormat="false" ht="23.85" hidden="false" customHeight="false" outlineLevel="0" collapsed="false">
      <c r="A24" s="5" t="s">
        <v>1311</v>
      </c>
      <c r="B24" s="5" t="s">
        <v>376</v>
      </c>
      <c r="C24" s="5" t="s">
        <v>502</v>
      </c>
      <c r="D24" s="5" t="n">
        <v>30</v>
      </c>
      <c r="E24" s="5"/>
      <c r="F24" s="5" t="s">
        <v>1266</v>
      </c>
      <c r="G24" s="5"/>
      <c r="H24" s="5"/>
      <c r="I24" s="13" t="str">
        <f aca="false">IF(AND(ISNUMBER(E24),ISNUMBER(H24),H24&lt;&gt;0),E24/H24,"")</f>
        <v/>
      </c>
      <c r="J24" s="6" t="s">
        <v>1312</v>
      </c>
      <c r="K24" s="5" t="s">
        <v>1313</v>
      </c>
      <c r="L24" s="5" t="s">
        <v>499</v>
      </c>
      <c r="M24" s="5" t="s">
        <v>1314</v>
      </c>
    </row>
    <row r="25" customFormat="false" ht="23.85" hidden="false" customHeight="false" outlineLevel="0" collapsed="false">
      <c r="A25" s="5" t="s">
        <v>1315</v>
      </c>
      <c r="B25" s="5" t="s">
        <v>905</v>
      </c>
      <c r="C25" s="5" t="s">
        <v>506</v>
      </c>
      <c r="D25" s="5" t="n">
        <v>70</v>
      </c>
      <c r="E25" s="5"/>
      <c r="F25" s="5" t="s">
        <v>1266</v>
      </c>
      <c r="G25" s="5"/>
      <c r="H25" s="5"/>
      <c r="I25" s="13" t="str">
        <f aca="false">IF(AND(ISNUMBER(E25),ISNUMBER(H25),H25&lt;&gt;0),E25/H25,"")</f>
        <v/>
      </c>
      <c r="J25" s="6" t="s">
        <v>1316</v>
      </c>
      <c r="K25" s="5" t="s">
        <v>1185</v>
      </c>
      <c r="L25" s="5" t="s">
        <v>503</v>
      </c>
      <c r="M25" s="6" t="s">
        <v>1317</v>
      </c>
    </row>
    <row r="26" customFormat="false" ht="23.85" hidden="false" customHeight="false" outlineLevel="0" collapsed="false">
      <c r="A26" s="5" t="s">
        <v>1318</v>
      </c>
      <c r="B26" s="5" t="s">
        <v>905</v>
      </c>
      <c r="C26" s="5" t="s">
        <v>120</v>
      </c>
      <c r="D26" s="5" t="n">
        <v>-130</v>
      </c>
      <c r="E26" s="5"/>
      <c r="F26" s="5" t="s">
        <v>1266</v>
      </c>
      <c r="G26" s="5"/>
      <c r="H26" s="5"/>
      <c r="I26" s="13" t="str">
        <f aca="false">IF(AND(ISNUMBER(E26),ISNUMBER(H26),H26&lt;&gt;0),E26/H26,"")</f>
        <v/>
      </c>
      <c r="J26" s="6" t="s">
        <v>1319</v>
      </c>
      <c r="K26" s="5" t="s">
        <v>1185</v>
      </c>
      <c r="L26" s="5" t="s">
        <v>509</v>
      </c>
      <c r="M26" s="5" t="s">
        <v>1320</v>
      </c>
    </row>
    <row r="27" customFormat="false" ht="23.85" hidden="false" customHeight="false" outlineLevel="0" collapsed="false">
      <c r="A27" s="5" t="s">
        <v>1321</v>
      </c>
      <c r="B27" s="5" t="s">
        <v>905</v>
      </c>
      <c r="C27" s="5" t="s">
        <v>223</v>
      </c>
      <c r="D27" s="5" t="n">
        <v>0</v>
      </c>
      <c r="E27" s="5"/>
      <c r="F27" s="5" t="s">
        <v>1266</v>
      </c>
      <c r="G27" s="5"/>
      <c r="H27" s="5"/>
      <c r="I27" s="13" t="str">
        <f aca="false">IF(AND(ISNUMBER(E27),ISNUMBER(H27),H27&lt;&gt;0),E27/H27,"")</f>
        <v/>
      </c>
      <c r="J27" s="6" t="s">
        <v>1322</v>
      </c>
      <c r="K27" s="5" t="s">
        <v>1185</v>
      </c>
      <c r="L27" s="5" t="s">
        <v>513</v>
      </c>
      <c r="M27" s="5" t="s">
        <v>1323</v>
      </c>
    </row>
    <row r="28" customFormat="false" ht="23.85" hidden="false" customHeight="false" outlineLevel="0" collapsed="false">
      <c r="A28" s="5" t="s">
        <v>1324</v>
      </c>
      <c r="B28" s="5" t="s">
        <v>905</v>
      </c>
      <c r="C28" s="5" t="s">
        <v>632</v>
      </c>
      <c r="D28" s="5" t="n">
        <v>0</v>
      </c>
      <c r="E28" s="5"/>
      <c r="F28" s="5" t="s">
        <v>1266</v>
      </c>
      <c r="G28" s="5"/>
      <c r="H28" s="5"/>
      <c r="I28" s="13" t="str">
        <f aca="false">IF(AND(ISNUMBER(E28),ISNUMBER(H28),H28&lt;&gt;0),E28/H28,"")</f>
        <v/>
      </c>
      <c r="J28" s="6" t="s">
        <v>1325</v>
      </c>
      <c r="K28" s="5" t="s">
        <v>1185</v>
      </c>
      <c r="L28" s="5" t="s">
        <v>629</v>
      </c>
      <c r="M28" s="6" t="s">
        <v>1326</v>
      </c>
    </row>
    <row r="29" customFormat="false" ht="23.85" hidden="false" customHeight="false" outlineLevel="0" collapsed="false">
      <c r="A29" s="5" t="s">
        <v>1327</v>
      </c>
      <c r="B29" s="5" t="s">
        <v>905</v>
      </c>
      <c r="C29" s="5" t="s">
        <v>154</v>
      </c>
      <c r="D29" s="5" t="n">
        <v>30</v>
      </c>
      <c r="E29" s="5"/>
      <c r="F29" s="5" t="s">
        <v>1266</v>
      </c>
      <c r="G29" s="5"/>
      <c r="H29" s="5"/>
      <c r="I29" s="13" t="str">
        <f aca="false">IF(AND(ISNUMBER(E29),ISNUMBER(H29),H29&lt;&gt;0),E29/H29,"")</f>
        <v/>
      </c>
      <c r="J29" s="6" t="s">
        <v>1328</v>
      </c>
      <c r="K29" s="5" t="s">
        <v>1185</v>
      </c>
      <c r="L29" s="5" t="s">
        <v>625</v>
      </c>
      <c r="M29" s="6" t="s">
        <v>1329</v>
      </c>
    </row>
    <row r="30" customFormat="false" ht="23.85" hidden="false" customHeight="false" outlineLevel="0" collapsed="false">
      <c r="A30" s="5" t="s">
        <v>1330</v>
      </c>
      <c r="B30" s="5" t="s">
        <v>905</v>
      </c>
      <c r="C30" s="5" t="s">
        <v>372</v>
      </c>
      <c r="D30" s="5" t="n">
        <v>10</v>
      </c>
      <c r="E30" s="5"/>
      <c r="F30" s="5" t="s">
        <v>1266</v>
      </c>
      <c r="G30" s="5"/>
      <c r="H30" s="5"/>
      <c r="I30" s="13" t="str">
        <f aca="false">IF(AND(ISNUMBER(E30),ISNUMBER(H30),H30&lt;&gt;0),E30/H30,"")</f>
        <v/>
      </c>
      <c r="J30" s="6" t="s">
        <v>1331</v>
      </c>
      <c r="K30" s="5" t="s">
        <v>1185</v>
      </c>
      <c r="L30" s="5" t="s">
        <v>634</v>
      </c>
      <c r="M30" s="5" t="s">
        <v>1332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50"/>
    <col collapsed="false" customWidth="true" hidden="false" outlineLevel="0" max="4" min="4" style="0" width="14"/>
    <col collapsed="false" customWidth="true" hidden="false" outlineLevel="0" max="5" min="5" style="0" width="22"/>
    <col collapsed="false" customWidth="true" hidden="false" outlineLevel="0" max="6" min="6" style="0" width="10"/>
    <col collapsed="false" customWidth="true" hidden="false" outlineLevel="0" max="7" min="7" style="0" width="44"/>
    <col collapsed="false" customWidth="true" hidden="false" outlineLevel="0" max="8" min="8" style="0" width="30"/>
  </cols>
  <sheetData>
    <row r="1" customFormat="false" ht="15" hidden="false" customHeight="false" outlineLevel="0" collapsed="false">
      <c r="A1" s="4" t="s">
        <v>1333</v>
      </c>
      <c r="B1" s="4" t="s">
        <v>769</v>
      </c>
      <c r="C1" s="4" t="s">
        <v>1334</v>
      </c>
      <c r="D1" s="4" t="s">
        <v>982</v>
      </c>
      <c r="E1" s="4" t="s">
        <v>1335</v>
      </c>
      <c r="F1" s="4" t="s">
        <v>27</v>
      </c>
      <c r="G1" s="4" t="s">
        <v>1336</v>
      </c>
      <c r="H1" s="4" t="s">
        <v>1337</v>
      </c>
    </row>
    <row r="2" customFormat="false" ht="23.85" hidden="false" customHeight="false" outlineLevel="0" collapsed="false">
      <c r="A2" s="5" t="s">
        <v>1338</v>
      </c>
      <c r="B2" s="5" t="s">
        <v>905</v>
      </c>
      <c r="C2" s="6" t="s">
        <v>1339</v>
      </c>
      <c r="D2" s="5" t="s">
        <v>1340</v>
      </c>
      <c r="E2" s="5" t="s">
        <v>1341</v>
      </c>
      <c r="F2" s="5" t="s">
        <v>1342</v>
      </c>
      <c r="G2" s="6" t="s">
        <v>1343</v>
      </c>
      <c r="H2" s="5" t="s">
        <v>1344</v>
      </c>
    </row>
    <row r="3" customFormat="false" ht="23.85" hidden="false" customHeight="false" outlineLevel="0" collapsed="false">
      <c r="A3" s="5" t="s">
        <v>1345</v>
      </c>
      <c r="B3" s="5" t="s">
        <v>778</v>
      </c>
      <c r="C3" s="6" t="s">
        <v>1346</v>
      </c>
      <c r="D3" s="5" t="s">
        <v>1015</v>
      </c>
      <c r="E3" s="5" t="s">
        <v>1347</v>
      </c>
      <c r="F3" s="5" t="s">
        <v>238</v>
      </c>
      <c r="G3" s="6" t="s">
        <v>1348</v>
      </c>
      <c r="H3" s="6" t="s">
        <v>1349</v>
      </c>
    </row>
    <row r="4" customFormat="false" ht="23.85" hidden="false" customHeight="false" outlineLevel="0" collapsed="false">
      <c r="A4" s="5" t="s">
        <v>1350</v>
      </c>
      <c r="B4" s="5" t="s">
        <v>905</v>
      </c>
      <c r="C4" s="6" t="s">
        <v>1351</v>
      </c>
      <c r="D4" s="5" t="s">
        <v>1352</v>
      </c>
      <c r="E4" s="5" t="s">
        <v>223</v>
      </c>
      <c r="F4" s="5" t="s">
        <v>252</v>
      </c>
      <c r="G4" s="6" t="s">
        <v>1353</v>
      </c>
      <c r="H4" s="5" t="s">
        <v>1354</v>
      </c>
    </row>
    <row r="5" customFormat="false" ht="15" hidden="false" customHeight="false" outlineLevel="0" collapsed="false">
      <c r="A5" s="5" t="s">
        <v>1355</v>
      </c>
      <c r="B5" s="5" t="s">
        <v>905</v>
      </c>
      <c r="C5" s="6" t="s">
        <v>1356</v>
      </c>
      <c r="D5" s="5" t="s">
        <v>1357</v>
      </c>
      <c r="E5" s="5" t="s">
        <v>506</v>
      </c>
      <c r="F5" s="5" t="s">
        <v>266</v>
      </c>
      <c r="G5" s="5" t="s">
        <v>1358</v>
      </c>
      <c r="H5" s="5" t="s">
        <v>1354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8"/>
    <col collapsed="false" customWidth="true" hidden="false" outlineLevel="0" max="4" min="4" style="0" width="22"/>
    <col collapsed="false" customWidth="true" hidden="false" outlineLevel="0" max="7" min="5" style="0" width="12"/>
  </cols>
  <sheetData>
    <row r="1" customFormat="false" ht="15" hidden="false" customHeight="false" outlineLevel="0" collapsed="false">
      <c r="A1" s="15" t="s">
        <v>1359</v>
      </c>
    </row>
    <row r="3" customFormat="false" ht="26.85" hidden="false" customHeight="false" outlineLevel="0" collapsed="false">
      <c r="A3" s="16" t="s">
        <v>769</v>
      </c>
      <c r="B3" s="16" t="s">
        <v>1360</v>
      </c>
      <c r="C3" s="16" t="s">
        <v>1361</v>
      </c>
      <c r="D3" s="16" t="s">
        <v>1362</v>
      </c>
      <c r="E3" s="16" t="s">
        <v>1363</v>
      </c>
      <c r="F3" s="16" t="s">
        <v>1364</v>
      </c>
      <c r="G3" s="16" t="s">
        <v>1365</v>
      </c>
    </row>
    <row r="4" customFormat="false" ht="15" hidden="false" customHeight="false" outlineLevel="0" collapsed="false">
      <c r="A4" s="2" t="s">
        <v>778</v>
      </c>
      <c r="B4" s="17" t="n">
        <f aca="false">COUNTIF(Quarterly_Panel!$A$2:$A$135,A4)</f>
        <v>50</v>
      </c>
      <c r="C4" s="17" t="n">
        <f aca="false">COUNTIFS(Quarterly_Panel!$A$2:$A$135,A4,Quarterly_Panel!$D$2:$D$135,"&lt;&gt;")</f>
        <v>50</v>
      </c>
      <c r="D4" s="17" t="n">
        <f aca="false">COUNTIFS(Quarterly_Panel!$A$2:$A$135,A4,Quarterly_Panel!$F$2:$F$135,"&lt;&gt;")</f>
        <v>50</v>
      </c>
      <c r="E4" s="18" t="n">
        <f aca="false">IF(B4=0,"",D4/B4)</f>
        <v>1</v>
      </c>
      <c r="F4" s="0" t="str">
        <f aca="false">INDEX(Quarterly_Panel!$B$2:$B$135,MATCH(A4,Quarterly_Panel!$A$2:$A$135,0))</f>
        <v>Q1 FY15</v>
      </c>
      <c r="G4" s="0" t="str">
        <f aca="false">INDEX(Quarterly_Panel!$B$2:$B$135,MATCH(A4,Quarterly_Panel!$A$2:$A$135,0)+B4-1)</f>
        <v>Q2 FY27</v>
      </c>
    </row>
    <row r="5" customFormat="false" ht="15" hidden="false" customHeight="false" outlineLevel="0" collapsed="false">
      <c r="A5" s="2" t="s">
        <v>874</v>
      </c>
      <c r="B5" s="17" t="n">
        <f aca="false">COUNTIF(Quarterly_Panel!$A$2:$A$135,A5)</f>
        <v>30</v>
      </c>
      <c r="C5" s="17" t="n">
        <f aca="false">COUNTIFS(Quarterly_Panel!$A$2:$A$135,A5,Quarterly_Panel!$D$2:$D$135,"&lt;&gt;")</f>
        <v>30</v>
      </c>
      <c r="D5" s="17" t="n">
        <f aca="false">COUNTIFS(Quarterly_Panel!$A$2:$A$135,A5,Quarterly_Panel!$F$2:$F$135,"&lt;&gt;")</f>
        <v>30</v>
      </c>
      <c r="E5" s="18" t="n">
        <f aca="false">IF(B5=0,"",D5/B5)</f>
        <v>1</v>
      </c>
      <c r="F5" s="0" t="str">
        <f aca="false">INDEX(Quarterly_Panel!$B$2:$B$135,MATCH(A5,Quarterly_Panel!$A$2:$A$135,0))</f>
        <v>Q4 FY19</v>
      </c>
      <c r="G5" s="0" t="str">
        <f aca="false">INDEX(Quarterly_Panel!$B$2:$B$135,MATCH(A5,Quarterly_Panel!$A$2:$A$135,0)+B5-1)</f>
        <v>Q1 FY27</v>
      </c>
    </row>
    <row r="6" customFormat="false" ht="15" hidden="false" customHeight="false" outlineLevel="0" collapsed="false">
      <c r="A6" s="2" t="s">
        <v>905</v>
      </c>
      <c r="B6" s="17" t="n">
        <f aca="false">COUNTIF(Quarterly_Panel!$A$2:$A$135,A6)</f>
        <v>19</v>
      </c>
      <c r="C6" s="17" t="n">
        <f aca="false">COUNTIFS(Quarterly_Panel!$A$2:$A$135,A6,Quarterly_Panel!$D$2:$D$135,"&lt;&gt;")</f>
        <v>19</v>
      </c>
      <c r="D6" s="17" t="n">
        <f aca="false">COUNTIFS(Quarterly_Panel!$A$2:$A$135,A6,Quarterly_Panel!$F$2:$F$135,"&lt;&gt;")</f>
        <v>0</v>
      </c>
      <c r="E6" s="18" t="n">
        <f aca="false">IF(B6=0,"",D6/B6)</f>
        <v>0</v>
      </c>
      <c r="F6" s="0" t="str">
        <f aca="false">INDEX(Quarterly_Panel!$B$2:$B$135,MATCH(A6,Quarterly_Panel!$A$2:$A$135,0))</f>
        <v>Q4 FY22</v>
      </c>
      <c r="G6" s="0" t="str">
        <f aca="false">INDEX(Quarterly_Panel!$B$2:$B$135,MATCH(A6,Quarterly_Panel!$A$2:$A$135,0)+B6-1)</f>
        <v>Q2 FY27</v>
      </c>
    </row>
    <row r="7" customFormat="false" ht="15" hidden="false" customHeight="false" outlineLevel="0" collapsed="false">
      <c r="A7" s="2" t="s">
        <v>931</v>
      </c>
      <c r="B7" s="17" t="n">
        <f aca="false">COUNTIF(Quarterly_Panel!$A$2:$A$135,A7)</f>
        <v>9</v>
      </c>
      <c r="C7" s="17" t="n">
        <f aca="false">COUNTIFS(Quarterly_Panel!$A$2:$A$135,A7,Quarterly_Panel!$D$2:$D$135,"&lt;&gt;")</f>
        <v>9</v>
      </c>
      <c r="D7" s="17" t="n">
        <f aca="false">COUNTIFS(Quarterly_Panel!$A$2:$A$135,A7,Quarterly_Panel!$F$2:$F$135,"&lt;&gt;")</f>
        <v>0</v>
      </c>
      <c r="E7" s="18" t="n">
        <f aca="false">IF(B7=0,"",D7/B7)</f>
        <v>0</v>
      </c>
      <c r="F7" s="0" t="str">
        <f aca="false">INDEX(Quarterly_Panel!$B$2:$B$135,MATCH(A7,Quarterly_Panel!$A$2:$A$135,0))</f>
        <v>Q2 FY25</v>
      </c>
      <c r="G7" s="0" t="str">
        <f aca="false">INDEX(Quarterly_Panel!$B$2:$B$135,MATCH(A7,Quarterly_Panel!$A$2:$A$135,0)+B7-1)</f>
        <v>Q2 FY27</v>
      </c>
    </row>
    <row r="8" customFormat="false" ht="15" hidden="false" customHeight="false" outlineLevel="0" collapsed="false">
      <c r="A8" s="2" t="s">
        <v>948</v>
      </c>
      <c r="B8" s="17" t="n">
        <f aca="false">COUNTIF(Quarterly_Panel!$A$2:$A$135,A8)</f>
        <v>15</v>
      </c>
      <c r="C8" s="17" t="n">
        <f aca="false">COUNTIFS(Quarterly_Panel!$A$2:$A$135,A8,Quarterly_Panel!$D$2:$D$135,"&lt;&gt;")</f>
        <v>15</v>
      </c>
      <c r="D8" s="17" t="n">
        <f aca="false">COUNTIFS(Quarterly_Panel!$A$2:$A$135,A8,Quarterly_Panel!$F$2:$F$135,"&lt;&gt;")</f>
        <v>13</v>
      </c>
      <c r="E8" s="18" t="n">
        <f aca="false">IF(B8=0,"",D8/B8)</f>
        <v>0.866666666666667</v>
      </c>
      <c r="F8" s="0" t="str">
        <f aca="false">INDEX(Quarterly_Panel!$B$2:$B$135,MATCH(A8,Quarterly_Panel!$A$2:$A$135,0))</f>
        <v>Q2 FY23</v>
      </c>
      <c r="G8" s="0" t="str">
        <f aca="false">INDEX(Quarterly_Panel!$B$2:$B$135,MATCH(A8,Quarterly_Panel!$A$2:$A$135,0)+B8-1)</f>
        <v>Q1 FY27</v>
      </c>
    </row>
    <row r="9" customFormat="false" ht="15" hidden="false" customHeight="false" outlineLevel="0" collapsed="false">
      <c r="A9" s="2" t="s">
        <v>376</v>
      </c>
      <c r="B9" s="17" t="n">
        <f aca="false">COUNTIF(Quarterly_Panel!$A$2:$A$135,A9)</f>
        <v>11</v>
      </c>
      <c r="C9" s="17" t="n">
        <f aca="false">COUNTIFS(Quarterly_Panel!$A$2:$A$135,A9,Quarterly_Panel!$D$2:$D$135,"&lt;&gt;")</f>
        <v>11</v>
      </c>
      <c r="D9" s="17" t="n">
        <f aca="false">COUNTIFS(Quarterly_Panel!$A$2:$A$135,A9,Quarterly_Panel!$F$2:$F$135,"&lt;&gt;")</f>
        <v>10</v>
      </c>
      <c r="E9" s="18" t="n">
        <f aca="false">IF(B9=0,"",D9/B9)</f>
        <v>0.909090909090909</v>
      </c>
      <c r="F9" s="0" t="str">
        <f aca="false">INDEX(Quarterly_Panel!$B$2:$B$135,MATCH(A9,Quarterly_Panel!$A$2:$A$135,0))</f>
        <v>Q4 FY24</v>
      </c>
      <c r="G9" s="0" t="str">
        <f aca="false">INDEX(Quarterly_Panel!$B$2:$B$135,MATCH(A9,Quarterly_Panel!$A$2:$A$135,0)+B9-1)</f>
        <v>Q2 FY27</v>
      </c>
    </row>
    <row r="10" customFormat="false" ht="15" hidden="false" customHeight="false" outlineLevel="0" collapsed="false">
      <c r="A10" s="15" t="s">
        <v>1366</v>
      </c>
      <c r="B10" s="17" t="n">
        <f aca="false">SUM(B4:B9)</f>
        <v>134</v>
      </c>
      <c r="C10" s="17" t="n">
        <f aca="false">SUM(C4:C9)</f>
        <v>134</v>
      </c>
      <c r="D10" s="17" t="n">
        <f aca="false">SUM(D4:D9)</f>
        <v>103</v>
      </c>
      <c r="E10" s="18" t="n">
        <f aca="false">IF(B10=0,"",D10/B10)</f>
        <v>0.76865671641791</v>
      </c>
    </row>
    <row r="12" customFormat="false" ht="15" hidden="false" customHeight="false" outlineLevel="0" collapsed="false">
      <c r="A12" s="19" t="s">
        <v>1367</v>
      </c>
      <c r="B12" s="19" t="s">
        <v>1368</v>
      </c>
      <c r="C12" s="19" t="s">
        <v>1369</v>
      </c>
      <c r="D12" s="19" t="s">
        <v>1370</v>
      </c>
    </row>
    <row r="13" customFormat="false" ht="15" hidden="false" customHeight="false" outlineLevel="0" collapsed="false">
      <c r="A13" s="20" t="s">
        <v>1371</v>
      </c>
      <c r="B13" s="20" t="s">
        <v>1372</v>
      </c>
      <c r="C13" s="20" t="n">
        <f aca="false">COUNTIF(Margin_Walks!$F$2:$F$30,"A")</f>
        <v>6</v>
      </c>
      <c r="D13" s="20" t="str">
        <f aca="false">IF(C13&gt;=15,"Met","Not met")</f>
        <v>Not met</v>
      </c>
    </row>
    <row r="14" customFormat="false" ht="15" hidden="false" customHeight="false" outlineLevel="0" collapsed="false">
      <c r="A14" s="20" t="s">
        <v>1373</v>
      </c>
      <c r="B14" s="20" t="s">
        <v>1374</v>
      </c>
      <c r="C14" s="20" t="n">
        <f aca="false">SUMPRODUCT((Margin_Walks!$F$2:$F$30="A")/COUNTIFS(Margin_Walks!$B$2:$B$30,Margin_Walks!$B$2:$B$30,Margin_Walks!$F$2:$F$30,Margin_Walks!$F$2:$F$30))</f>
        <v>3</v>
      </c>
      <c r="D14" s="20" t="str">
        <f aca="false">IF(C14&gt;=4,"Met","Not met")</f>
        <v>Not met</v>
      </c>
    </row>
    <row r="15" customFormat="false" ht="15" hidden="false" customHeight="false" outlineLevel="0" collapsed="false">
      <c r="A15" s="20" t="s">
        <v>1375</v>
      </c>
      <c r="B15" s="20" t="s">
        <v>1376</v>
      </c>
      <c r="C15" s="20" t="n">
        <f aca="false">COUNTIF(Margin_Walks!$F$2:$F$30,"A")+COUNTIF(Margin_Walks!$F$2:$F$30,"B")</f>
        <v>14</v>
      </c>
      <c r="D15" s="20" t="s">
        <v>1377</v>
      </c>
    </row>
    <row r="16" customFormat="false" ht="15" hidden="false" customHeight="false" outlineLevel="0" collapsed="false">
      <c r="A16" s="20" t="s">
        <v>1378</v>
      </c>
      <c r="B16" s="20" t="s">
        <v>1376</v>
      </c>
      <c r="C16" s="20" t="n">
        <f aca="false">COUNT(Margin_Walks!$I$2:$I$30)</f>
        <v>7</v>
      </c>
      <c r="D16" s="20" t="s">
        <v>1377</v>
      </c>
    </row>
    <row r="17" customFormat="false" ht="15" hidden="false" customHeight="false" outlineLevel="0" collapsed="false">
      <c r="A17" s="20" t="s">
        <v>1379</v>
      </c>
      <c r="B17" s="20" t="s">
        <v>1380</v>
      </c>
      <c r="C17" s="21" t="n">
        <f aca="false">(D4+D5+D8)/(B4+B5+B8)</f>
        <v>0.978947368421053</v>
      </c>
      <c r="D17" s="20" t="str">
        <f aca="false">IF(C17&gt;=0.9,"Met","Not met")</f>
        <v>Met</v>
      </c>
    </row>
    <row r="18" customFormat="false" ht="15" hidden="false" customHeight="false" outlineLevel="0" collapsed="false">
      <c r="A18" s="20" t="s">
        <v>1381</v>
      </c>
      <c r="B18" s="20" t="s">
        <v>1382</v>
      </c>
      <c r="C18" s="21" t="n">
        <f aca="false">COUNTIF(Quarterly_Panel!$L$2:$L$135,"S*")/COUNTA(Quarterly_Panel!$A$2:$A$135)</f>
        <v>1</v>
      </c>
      <c r="D18" s="20" t="str">
        <f aca="false">IF(C18=1,"Met","Not met")</f>
        <v>Met</v>
      </c>
    </row>
    <row r="19" customFormat="false" ht="15" hidden="false" customHeight="false" outlineLevel="0" collapsed="false">
      <c r="A19" s="20" t="s">
        <v>1383</v>
      </c>
      <c r="B19" s="20" t="s">
        <v>1384</v>
      </c>
      <c r="C19" s="20" t="n">
        <f aca="false">B4</f>
        <v>50</v>
      </c>
      <c r="D19" s="20" t="str">
        <f aca="false">IF(C19&gt;=40,"Met","Partial — back-fill FY15–FY19 from datasheets (S09)")</f>
        <v>Met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20"/>
    <col collapsed="false" customWidth="true" hidden="false" outlineLevel="0" max="4" min="4" style="0" width="70"/>
    <col collapsed="false" customWidth="true" hidden="false" outlineLevel="0" max="5" min="5" style="0" width="22"/>
    <col collapsed="false" customWidth="true" hidden="false" outlineLevel="0" max="6" min="6" style="0" width="60"/>
    <col collapsed="false" customWidth="true" hidden="false" outlineLevel="0" max="7" min="7" style="0" width="14"/>
    <col collapsed="false" customWidth="true" hidden="false" outlineLevel="0" max="8" min="8" style="0" width="18"/>
  </cols>
  <sheetData>
    <row r="1" customFormat="false" ht="23.85" hidden="false" customHeight="false" outlineLevel="0" collapsed="false">
      <c r="A1" s="4" t="s">
        <v>1385</v>
      </c>
      <c r="B1" s="4" t="s">
        <v>1386</v>
      </c>
      <c r="C1" s="4" t="s">
        <v>1387</v>
      </c>
      <c r="D1" s="4" t="s">
        <v>1388</v>
      </c>
      <c r="E1" s="4" t="s">
        <v>1389</v>
      </c>
      <c r="F1" s="4" t="s">
        <v>1390</v>
      </c>
      <c r="G1" s="4" t="s">
        <v>1391</v>
      </c>
      <c r="H1" s="4" t="s">
        <v>1392</v>
      </c>
    </row>
    <row r="2" customFormat="false" ht="35.05" hidden="false" customHeight="false" outlineLevel="0" collapsed="false">
      <c r="A2" s="7" t="s">
        <v>1393</v>
      </c>
      <c r="B2" s="7" t="s">
        <v>1394</v>
      </c>
      <c r="C2" s="7" t="s">
        <v>1395</v>
      </c>
      <c r="D2" s="8" t="s">
        <v>1396</v>
      </c>
      <c r="E2" s="7" t="s">
        <v>1397</v>
      </c>
      <c r="F2" s="8" t="s">
        <v>1398</v>
      </c>
      <c r="G2" s="7" t="s">
        <v>1399</v>
      </c>
      <c r="H2" s="7" t="s">
        <v>1400</v>
      </c>
    </row>
    <row r="3" customFormat="false" ht="23.85" hidden="false" customHeight="false" outlineLevel="0" collapsed="false">
      <c r="A3" s="7" t="s">
        <v>1401</v>
      </c>
      <c r="B3" s="7" t="s">
        <v>1402</v>
      </c>
      <c r="C3" s="7" t="s">
        <v>1403</v>
      </c>
      <c r="D3" s="8" t="s">
        <v>1404</v>
      </c>
      <c r="E3" s="7" t="s">
        <v>1405</v>
      </c>
      <c r="F3" s="7" t="s">
        <v>1406</v>
      </c>
      <c r="G3" s="7" t="s">
        <v>1399</v>
      </c>
      <c r="H3" s="7" t="s">
        <v>1407</v>
      </c>
    </row>
    <row r="4" customFormat="false" ht="46.25" hidden="false" customHeight="false" outlineLevel="0" collapsed="false">
      <c r="A4" s="7" t="s">
        <v>1408</v>
      </c>
      <c r="B4" s="7" t="s">
        <v>1402</v>
      </c>
      <c r="C4" s="7" t="s">
        <v>1409</v>
      </c>
      <c r="D4" s="8" t="s">
        <v>1410</v>
      </c>
      <c r="E4" s="7" t="s">
        <v>1411</v>
      </c>
      <c r="F4" s="8" t="s">
        <v>1412</v>
      </c>
      <c r="G4" s="7" t="s">
        <v>1413</v>
      </c>
      <c r="H4" s="7" t="s">
        <v>1414</v>
      </c>
    </row>
    <row r="5" customFormat="false" ht="35.05" hidden="false" customHeight="false" outlineLevel="0" collapsed="false">
      <c r="A5" s="7" t="s">
        <v>1415</v>
      </c>
      <c r="B5" s="7" t="s">
        <v>1402</v>
      </c>
      <c r="C5" s="7" t="s">
        <v>1416</v>
      </c>
      <c r="D5" s="8" t="s">
        <v>1417</v>
      </c>
      <c r="E5" s="7" t="s">
        <v>1418</v>
      </c>
      <c r="F5" s="8" t="s">
        <v>1419</v>
      </c>
      <c r="G5" s="7" t="s">
        <v>1420</v>
      </c>
      <c r="H5" s="7" t="s">
        <v>1414</v>
      </c>
    </row>
    <row r="6" customFormat="false" ht="23.85" hidden="false" customHeight="false" outlineLevel="0" collapsed="false">
      <c r="A6" s="7" t="s">
        <v>1421</v>
      </c>
      <c r="B6" s="7" t="s">
        <v>1422</v>
      </c>
      <c r="C6" s="7" t="s">
        <v>1423</v>
      </c>
      <c r="D6" s="8" t="s">
        <v>1424</v>
      </c>
      <c r="E6" s="7" t="s">
        <v>1425</v>
      </c>
      <c r="F6" s="8" t="s">
        <v>1426</v>
      </c>
      <c r="G6" s="7" t="s">
        <v>1399</v>
      </c>
      <c r="H6" s="7" t="s">
        <v>1427</v>
      </c>
    </row>
    <row r="7" customFormat="false" ht="23.85" hidden="false" customHeight="false" outlineLevel="0" collapsed="false">
      <c r="A7" s="7" t="s">
        <v>1428</v>
      </c>
      <c r="B7" s="7" t="s">
        <v>1422</v>
      </c>
      <c r="C7" s="7" t="s">
        <v>1429</v>
      </c>
      <c r="D7" s="8" t="s">
        <v>1430</v>
      </c>
      <c r="E7" s="7" t="s">
        <v>1431</v>
      </c>
      <c r="F7" s="8" t="s">
        <v>1432</v>
      </c>
      <c r="G7" s="7" t="s">
        <v>1399</v>
      </c>
      <c r="H7" s="7" t="s">
        <v>1427</v>
      </c>
    </row>
    <row r="8" customFormat="false" ht="15" hidden="false" customHeight="false" outlineLevel="0" collapsed="false">
      <c r="A8" s="7" t="s">
        <v>1433</v>
      </c>
      <c r="B8" s="7" t="s">
        <v>1422</v>
      </c>
      <c r="C8" s="7" t="s">
        <v>1434</v>
      </c>
      <c r="D8" s="8" t="s">
        <v>1435</v>
      </c>
      <c r="E8" s="7" t="s">
        <v>1436</v>
      </c>
      <c r="F8" s="8" t="s">
        <v>1437</v>
      </c>
      <c r="G8" s="7" t="s">
        <v>1399</v>
      </c>
      <c r="H8" s="7" t="s">
        <v>1407</v>
      </c>
    </row>
    <row r="9" customFormat="false" ht="23.85" hidden="false" customHeight="false" outlineLevel="0" collapsed="false">
      <c r="A9" s="7" t="s">
        <v>1438</v>
      </c>
      <c r="B9" s="7" t="s">
        <v>1422</v>
      </c>
      <c r="C9" s="7" t="s">
        <v>1439</v>
      </c>
      <c r="D9" s="8" t="s">
        <v>1440</v>
      </c>
      <c r="E9" s="7" t="s">
        <v>1441</v>
      </c>
      <c r="F9" s="8" t="s">
        <v>1442</v>
      </c>
      <c r="G9" s="7" t="s">
        <v>1413</v>
      </c>
      <c r="H9" s="7" t="s">
        <v>1443</v>
      </c>
    </row>
    <row r="10" customFormat="false" ht="23.85" hidden="false" customHeight="false" outlineLevel="0" collapsed="false">
      <c r="A10" s="7" t="s">
        <v>1444</v>
      </c>
      <c r="B10" s="7" t="s">
        <v>1445</v>
      </c>
      <c r="C10" s="7" t="s">
        <v>1446</v>
      </c>
      <c r="D10" s="8" t="s">
        <v>1447</v>
      </c>
      <c r="E10" s="7" t="s">
        <v>60</v>
      </c>
      <c r="F10" s="8" t="s">
        <v>1448</v>
      </c>
      <c r="G10" s="7" t="s">
        <v>1399</v>
      </c>
      <c r="H10" s="7" t="s">
        <v>1449</v>
      </c>
    </row>
    <row r="11" customFormat="false" ht="46.25" hidden="false" customHeight="false" outlineLevel="0" collapsed="false">
      <c r="A11" s="7" t="s">
        <v>1450</v>
      </c>
      <c r="B11" s="7" t="s">
        <v>1422</v>
      </c>
      <c r="C11" s="7" t="s">
        <v>1451</v>
      </c>
      <c r="D11" s="8" t="s">
        <v>1452</v>
      </c>
      <c r="E11" s="7" t="s">
        <v>60</v>
      </c>
      <c r="F11" s="8" t="s">
        <v>1453</v>
      </c>
      <c r="G11" s="7" t="s">
        <v>1399</v>
      </c>
      <c r="H11" s="7" t="s">
        <v>1454</v>
      </c>
    </row>
    <row r="12" customFormat="false" ht="35.05" hidden="false" customHeight="false" outlineLevel="0" collapsed="false">
      <c r="A12" s="7" t="s">
        <v>1455</v>
      </c>
      <c r="B12" s="7" t="s">
        <v>1445</v>
      </c>
      <c r="C12" s="7" t="s">
        <v>1456</v>
      </c>
      <c r="D12" s="8" t="s">
        <v>1457</v>
      </c>
      <c r="E12" s="7" t="s">
        <v>109</v>
      </c>
      <c r="F12" s="8" t="s">
        <v>1458</v>
      </c>
      <c r="G12" s="7" t="s">
        <v>1399</v>
      </c>
      <c r="H12" s="7" t="s">
        <v>1459</v>
      </c>
    </row>
    <row r="13" customFormat="false" ht="57.45" hidden="false" customHeight="false" outlineLevel="0" collapsed="false">
      <c r="A13" s="7" t="s">
        <v>1460</v>
      </c>
      <c r="B13" s="7" t="s">
        <v>1422</v>
      </c>
      <c r="C13" s="7" t="s">
        <v>1461</v>
      </c>
      <c r="D13" s="8" t="s">
        <v>1462</v>
      </c>
      <c r="E13" s="7" t="s">
        <v>1463</v>
      </c>
      <c r="F13" s="8" t="s">
        <v>1464</v>
      </c>
      <c r="G13" s="7" t="s">
        <v>1399</v>
      </c>
      <c r="H13" s="7" t="s">
        <v>1443</v>
      </c>
    </row>
    <row r="14" customFormat="false" ht="23.85" hidden="false" customHeight="false" outlineLevel="0" collapsed="false">
      <c r="A14" s="7" t="s">
        <v>1465</v>
      </c>
      <c r="B14" s="7" t="s">
        <v>1445</v>
      </c>
      <c r="C14" s="7" t="s">
        <v>1466</v>
      </c>
      <c r="D14" s="8" t="s">
        <v>1467</v>
      </c>
      <c r="E14" s="7" t="s">
        <v>1468</v>
      </c>
      <c r="F14" s="8" t="s">
        <v>1469</v>
      </c>
      <c r="G14" s="7" t="s">
        <v>1399</v>
      </c>
      <c r="H14" s="7" t="s">
        <v>1443</v>
      </c>
    </row>
    <row r="15" customFormat="false" ht="23.85" hidden="false" customHeight="false" outlineLevel="0" collapsed="false">
      <c r="A15" s="7" t="s">
        <v>1470</v>
      </c>
      <c r="B15" s="7" t="s">
        <v>1377</v>
      </c>
      <c r="C15" s="7" t="s">
        <v>1471</v>
      </c>
      <c r="D15" s="8" t="s">
        <v>1472</v>
      </c>
      <c r="E15" s="7" t="s">
        <v>719</v>
      </c>
      <c r="F15" s="8" t="s">
        <v>1473</v>
      </c>
      <c r="G15" s="7" t="s">
        <v>1399</v>
      </c>
      <c r="H15" s="7" t="s">
        <v>1407</v>
      </c>
    </row>
    <row r="16" customFormat="false" ht="35.05" hidden="false" customHeight="false" outlineLevel="0" collapsed="false">
      <c r="A16" s="7" t="s">
        <v>1474</v>
      </c>
      <c r="B16" s="7" t="s">
        <v>1422</v>
      </c>
      <c r="C16" s="7" t="s">
        <v>1475</v>
      </c>
      <c r="D16" s="8" t="s">
        <v>1476</v>
      </c>
      <c r="E16" s="7" t="s">
        <v>1477</v>
      </c>
      <c r="F16" s="8" t="s">
        <v>1478</v>
      </c>
      <c r="G16" s="7" t="s">
        <v>1413</v>
      </c>
      <c r="H16" s="7" t="s">
        <v>1443</v>
      </c>
    </row>
    <row r="17" customFormat="false" ht="46.25" hidden="false" customHeight="false" outlineLevel="0" collapsed="false">
      <c r="A17" s="7" t="s">
        <v>1479</v>
      </c>
      <c r="B17" s="7" t="s">
        <v>1377</v>
      </c>
      <c r="C17" s="7" t="s">
        <v>1480</v>
      </c>
      <c r="D17" s="8" t="s">
        <v>1481</v>
      </c>
      <c r="E17" s="7" t="s">
        <v>719</v>
      </c>
      <c r="F17" s="8" t="s">
        <v>1482</v>
      </c>
      <c r="G17" s="7" t="s">
        <v>1399</v>
      </c>
      <c r="H17" s="7" t="s">
        <v>1407</v>
      </c>
    </row>
    <row r="18" customFormat="false" ht="35.05" hidden="false" customHeight="false" outlineLevel="0" collapsed="false">
      <c r="A18" s="7" t="s">
        <v>1483</v>
      </c>
      <c r="B18" s="7" t="s">
        <v>1445</v>
      </c>
      <c r="C18" s="7" t="s">
        <v>1484</v>
      </c>
      <c r="D18" s="8" t="s">
        <v>1485</v>
      </c>
      <c r="E18" s="7" t="s">
        <v>776</v>
      </c>
      <c r="F18" s="8" t="s">
        <v>1486</v>
      </c>
      <c r="G18" s="7" t="s">
        <v>1399</v>
      </c>
      <c r="H18" s="7" t="s">
        <v>1443</v>
      </c>
    </row>
    <row r="19" customFormat="false" ht="35.05" hidden="false" customHeight="false" outlineLevel="0" collapsed="false">
      <c r="A19" s="7" t="s">
        <v>1487</v>
      </c>
      <c r="B19" s="7" t="s">
        <v>1422</v>
      </c>
      <c r="C19" s="7" t="s">
        <v>1488</v>
      </c>
      <c r="D19" s="8" t="s">
        <v>1489</v>
      </c>
      <c r="E19" s="7" t="s">
        <v>775</v>
      </c>
      <c r="F19" s="8" t="s">
        <v>1490</v>
      </c>
      <c r="G19" s="7" t="s">
        <v>1413</v>
      </c>
      <c r="H19" s="7" t="s">
        <v>1443</v>
      </c>
    </row>
    <row r="20" customFormat="false" ht="23.85" hidden="false" customHeight="false" outlineLevel="0" collapsed="false">
      <c r="A20" s="7" t="s">
        <v>1491</v>
      </c>
      <c r="B20" s="7" t="s">
        <v>1377</v>
      </c>
      <c r="C20" s="7" t="s">
        <v>1492</v>
      </c>
      <c r="D20" s="8" t="s">
        <v>1493</v>
      </c>
      <c r="E20" s="7" t="s">
        <v>1494</v>
      </c>
      <c r="F20" s="7" t="s">
        <v>1495</v>
      </c>
      <c r="G20" s="7" t="s">
        <v>1399</v>
      </c>
      <c r="H20" s="7" t="s">
        <v>1407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7" min="3" style="0" width="12"/>
    <col collapsed="false" customWidth="true" hidden="false" outlineLevel="0" max="8" min="8" style="0" width="10"/>
    <col collapsed="false" customWidth="true" hidden="false" outlineLevel="0" max="9" min="9" style="0" width="44"/>
  </cols>
  <sheetData>
    <row r="1" customFormat="false" ht="23.85" hidden="false" customHeight="false" outlineLevel="0" collapsed="false">
      <c r="A1" s="4" t="s">
        <v>1496</v>
      </c>
      <c r="B1" s="4" t="s">
        <v>1497</v>
      </c>
      <c r="C1" s="4" t="s">
        <v>1498</v>
      </c>
      <c r="D1" s="4" t="s">
        <v>1499</v>
      </c>
      <c r="E1" s="4" t="s">
        <v>1500</v>
      </c>
      <c r="F1" s="4" t="s">
        <v>1501</v>
      </c>
      <c r="G1" s="4" t="s">
        <v>1502</v>
      </c>
      <c r="H1" s="4" t="s">
        <v>1503</v>
      </c>
      <c r="I1" s="4" t="s">
        <v>1504</v>
      </c>
    </row>
    <row r="2" customFormat="false" ht="15" hidden="false" customHeight="false" outlineLevel="0" collapsed="false">
      <c r="A2" s="5" t="s">
        <v>1505</v>
      </c>
      <c r="B2" s="5" t="s">
        <v>1506</v>
      </c>
      <c r="C2" s="10" t="n">
        <v>324</v>
      </c>
      <c r="D2" s="10" t="n">
        <v>0</v>
      </c>
      <c r="E2" s="22" t="n">
        <f aca="false">C2-D2</f>
        <v>324</v>
      </c>
      <c r="F2" s="23" t="n">
        <f aca="false">IF(C2=0,"",D2/C2)</f>
        <v>0</v>
      </c>
      <c r="G2" s="5" t="n">
        <v>0</v>
      </c>
      <c r="H2" s="5" t="n">
        <v>12</v>
      </c>
      <c r="I2" s="5" t="s">
        <v>1507</v>
      </c>
    </row>
    <row r="3" customFormat="false" ht="15" hidden="false" customHeight="false" outlineLevel="0" collapsed="false">
      <c r="A3" s="5" t="s">
        <v>1508</v>
      </c>
      <c r="B3" s="5" t="s">
        <v>1509</v>
      </c>
      <c r="C3" s="10" t="n">
        <v>91</v>
      </c>
      <c r="D3" s="10" t="n">
        <v>0</v>
      </c>
      <c r="E3" s="22" t="n">
        <f aca="false">C3-D3</f>
        <v>91</v>
      </c>
      <c r="F3" s="23" t="n">
        <f aca="false">IF(C3=0,"",D3/C3)</f>
        <v>0</v>
      </c>
      <c r="G3" s="5" t="n">
        <v>0</v>
      </c>
      <c r="H3" s="5" t="n">
        <v>7</v>
      </c>
      <c r="I3" s="5" t="s">
        <v>1507</v>
      </c>
    </row>
    <row r="4" customFormat="false" ht="15" hidden="false" customHeight="false" outlineLevel="0" collapsed="false">
      <c r="A4" s="5" t="s">
        <v>1510</v>
      </c>
      <c r="B4" s="5" t="s">
        <v>1511</v>
      </c>
      <c r="C4" s="10" t="n">
        <v>1287</v>
      </c>
      <c r="D4" s="10" t="n">
        <v>0</v>
      </c>
      <c r="E4" s="22" t="n">
        <f aca="false">C4-D4</f>
        <v>1287</v>
      </c>
      <c r="F4" s="23" t="n">
        <f aca="false">IF(C4=0,"",D4/C4)</f>
        <v>0</v>
      </c>
      <c r="G4" s="5" t="n">
        <v>286</v>
      </c>
      <c r="H4" s="5" t="n">
        <v>9</v>
      </c>
      <c r="I4" s="5" t="s">
        <v>1512</v>
      </c>
    </row>
    <row r="5" customFormat="false" ht="15" hidden="false" customHeight="false" outlineLevel="0" collapsed="false">
      <c r="A5" s="5" t="s">
        <v>1513</v>
      </c>
      <c r="B5" s="5" t="s">
        <v>1514</v>
      </c>
      <c r="C5" s="10" t="n">
        <v>599</v>
      </c>
      <c r="D5" s="10" t="n">
        <v>49</v>
      </c>
      <c r="E5" s="22" t="n">
        <f aca="false">C5-D5</f>
        <v>550</v>
      </c>
      <c r="F5" s="23" t="n">
        <f aca="false">IF(C5=0,"",D5/C5)</f>
        <v>0.0818030050083473</v>
      </c>
      <c r="G5" s="5" t="n">
        <v>0</v>
      </c>
      <c r="H5" s="5" t="n">
        <v>12</v>
      </c>
      <c r="I5" s="5" t="s">
        <v>1515</v>
      </c>
    </row>
    <row r="6" customFormat="false" ht="15" hidden="false" customHeight="false" outlineLevel="0" collapsed="false">
      <c r="A6" s="5" t="s">
        <v>1516</v>
      </c>
      <c r="B6" s="5" t="s">
        <v>1514</v>
      </c>
      <c r="C6" s="10" t="n">
        <v>1080</v>
      </c>
      <c r="D6" s="10" t="n">
        <v>0</v>
      </c>
      <c r="E6" s="22" t="n">
        <f aca="false">C6-D6</f>
        <v>1080</v>
      </c>
      <c r="F6" s="23" t="n">
        <f aca="false">IF(C6=0,"",D6/C6)</f>
        <v>0</v>
      </c>
      <c r="G6" s="5" t="n">
        <v>0</v>
      </c>
      <c r="H6" s="5" t="n">
        <v>12</v>
      </c>
      <c r="I6" s="5" t="s">
        <v>1507</v>
      </c>
    </row>
    <row r="7" customFormat="false" ht="15" hidden="false" customHeight="false" outlineLevel="0" collapsed="false">
      <c r="A7" s="5" t="s">
        <v>1517</v>
      </c>
      <c r="B7" s="5" t="s">
        <v>1518</v>
      </c>
      <c r="C7" s="10" t="n">
        <v>742</v>
      </c>
      <c r="D7" s="10" t="n">
        <v>103</v>
      </c>
      <c r="E7" s="22" t="n">
        <f aca="false">C7-D7</f>
        <v>639</v>
      </c>
      <c r="F7" s="23" t="n">
        <f aca="false">IF(C7=0,"",D7/C7)</f>
        <v>0.138814016172507</v>
      </c>
      <c r="G7" s="5" t="n">
        <v>44</v>
      </c>
      <c r="H7" s="5" t="n">
        <v>12</v>
      </c>
      <c r="I7" s="5" t="s">
        <v>1519</v>
      </c>
    </row>
    <row r="8" customFormat="false" ht="15" hidden="false" customHeight="false" outlineLevel="0" collapsed="false">
      <c r="A8" s="5" t="s">
        <v>1520</v>
      </c>
      <c r="B8" s="5" t="s">
        <v>1521</v>
      </c>
      <c r="C8" s="10" t="n">
        <v>230</v>
      </c>
      <c r="D8" s="10" t="n">
        <v>48</v>
      </c>
      <c r="E8" s="22" t="n">
        <f aca="false">C8-D8</f>
        <v>182</v>
      </c>
      <c r="F8" s="23" t="n">
        <f aca="false">IF(C8=0,"",D8/C8)</f>
        <v>0.208695652173913</v>
      </c>
      <c r="G8" s="5" t="n">
        <v>24</v>
      </c>
      <c r="H8" s="5" t="n">
        <v>10</v>
      </c>
      <c r="I8" s="5" t="s">
        <v>1522</v>
      </c>
    </row>
    <row r="9" customFormat="false" ht="15" hidden="false" customHeight="false" outlineLevel="0" collapsed="false">
      <c r="A9" s="5" t="s">
        <v>1523</v>
      </c>
      <c r="B9" s="5" t="s">
        <v>1524</v>
      </c>
      <c r="C9" s="10" t="n">
        <v>430</v>
      </c>
      <c r="D9" s="10" t="n">
        <v>0</v>
      </c>
      <c r="E9" s="22" t="n">
        <f aca="false">C9-D9</f>
        <v>430</v>
      </c>
      <c r="F9" s="23" t="n">
        <f aca="false">IF(C9=0,"",D9/C9)</f>
        <v>0</v>
      </c>
      <c r="G9" s="5" t="n">
        <v>0</v>
      </c>
      <c r="H9" s="5" t="n">
        <v>10</v>
      </c>
      <c r="I9" s="5" t="s">
        <v>1507</v>
      </c>
    </row>
    <row r="10" customFormat="false" ht="15" hidden="false" customHeight="false" outlineLevel="0" collapsed="false">
      <c r="A10" s="5" t="s">
        <v>1525</v>
      </c>
      <c r="B10" s="5" t="s">
        <v>1526</v>
      </c>
      <c r="C10" s="10" t="n">
        <v>180</v>
      </c>
      <c r="D10" s="10" t="n">
        <v>0</v>
      </c>
      <c r="E10" s="22" t="n">
        <f aca="false">C10-D10</f>
        <v>180</v>
      </c>
      <c r="F10" s="23" t="n">
        <f aca="false">IF(C10=0,"",D10/C10)</f>
        <v>0</v>
      </c>
      <c r="G10" s="5" t="n">
        <v>0</v>
      </c>
      <c r="H10" s="5" t="n">
        <v>12</v>
      </c>
      <c r="I10" s="5" t="s">
        <v>1527</v>
      </c>
    </row>
    <row r="11" customFormat="false" ht="15" hidden="false" customHeight="false" outlineLevel="0" collapsed="false">
      <c r="A11" s="5" t="s">
        <v>1528</v>
      </c>
      <c r="B11" s="5" t="s">
        <v>1529</v>
      </c>
      <c r="C11" s="10" t="n">
        <v>92</v>
      </c>
      <c r="D11" s="10" t="n">
        <v>4</v>
      </c>
      <c r="E11" s="22" t="n">
        <f aca="false">C11-D11</f>
        <v>88</v>
      </c>
      <c r="F11" s="23" t="n">
        <f aca="false">IF(C11=0,"",D11/C11)</f>
        <v>0.0434782608695652</v>
      </c>
      <c r="G11" s="5" t="n">
        <v>4</v>
      </c>
      <c r="H11" s="5" t="n">
        <v>10</v>
      </c>
      <c r="I11" s="5" t="s">
        <v>1507</v>
      </c>
    </row>
    <row r="12" customFormat="false" ht="15" hidden="false" customHeight="false" outlineLevel="0" collapsed="false">
      <c r="A12" s="5" t="s">
        <v>1530</v>
      </c>
      <c r="B12" s="6" t="s">
        <v>1531</v>
      </c>
      <c r="C12" s="10" t="n">
        <v>130</v>
      </c>
      <c r="D12" s="10" t="n">
        <v>0</v>
      </c>
      <c r="E12" s="22" t="n">
        <f aca="false">C12-D12</f>
        <v>130</v>
      </c>
      <c r="F12" s="23" t="n">
        <f aca="false">IF(C12=0,"",D12/C12)</f>
        <v>0</v>
      </c>
      <c r="G12" s="5" t="n">
        <v>0</v>
      </c>
      <c r="H12" s="5" t="n">
        <v>10</v>
      </c>
      <c r="I12" s="5" t="s">
        <v>1507</v>
      </c>
    </row>
    <row r="13" customFormat="false" ht="15" hidden="false" customHeight="false" outlineLevel="0" collapsed="false">
      <c r="A13" s="5" t="s">
        <v>1532</v>
      </c>
      <c r="B13" s="6" t="s">
        <v>1533</v>
      </c>
      <c r="C13" s="10" t="n">
        <v>150</v>
      </c>
      <c r="D13" s="10" t="n">
        <v>0</v>
      </c>
      <c r="E13" s="22" t="n">
        <f aca="false">C13-D13</f>
        <v>150</v>
      </c>
      <c r="F13" s="23" t="n">
        <f aca="false">IF(C13=0,"",D13/C13)</f>
        <v>0</v>
      </c>
      <c r="G13" s="5" t="n">
        <v>0</v>
      </c>
      <c r="H13" s="5" t="n">
        <v>10</v>
      </c>
      <c r="I13" s="5" t="s">
        <v>1534</v>
      </c>
    </row>
    <row r="14" customFormat="false" ht="15" hidden="false" customHeight="false" outlineLevel="0" collapsed="false">
      <c r="A14" s="5" t="s">
        <v>1535</v>
      </c>
      <c r="B14" s="5" t="s">
        <v>1536</v>
      </c>
      <c r="C14" s="10" t="n">
        <v>540</v>
      </c>
      <c r="D14" s="10" t="n">
        <v>0</v>
      </c>
      <c r="E14" s="22" t="n">
        <f aca="false">C14-D14</f>
        <v>540</v>
      </c>
      <c r="F14" s="23" t="n">
        <f aca="false">IF(C14=0,"",D14/C14)</f>
        <v>0</v>
      </c>
      <c r="G14" s="5" t="n">
        <v>0</v>
      </c>
      <c r="H14" s="5" t="n">
        <v>10</v>
      </c>
      <c r="I14" s="5" t="s">
        <v>1507</v>
      </c>
    </row>
    <row r="15" customFormat="false" ht="15" hidden="false" customHeight="false" outlineLevel="0" collapsed="false">
      <c r="A15" s="5" t="s">
        <v>1537</v>
      </c>
      <c r="B15" s="5" t="s">
        <v>1538</v>
      </c>
      <c r="C15" s="10" t="n">
        <v>166</v>
      </c>
      <c r="D15" s="10" t="n">
        <v>6</v>
      </c>
      <c r="E15" s="22" t="n">
        <f aca="false">C15-D15</f>
        <v>160</v>
      </c>
      <c r="F15" s="23" t="n">
        <f aca="false">IF(C15=0,"",D15/C15)</f>
        <v>0.036144578313253</v>
      </c>
      <c r="G15" s="5" t="n">
        <v>6</v>
      </c>
      <c r="H15" s="5" t="n">
        <v>7</v>
      </c>
      <c r="I15" s="5" t="s">
        <v>1507</v>
      </c>
    </row>
    <row r="16" customFormat="false" ht="15" hidden="false" customHeight="false" outlineLevel="0" collapsed="false">
      <c r="A16" s="5" t="s">
        <v>1539</v>
      </c>
      <c r="B16" s="5" t="s">
        <v>1540</v>
      </c>
      <c r="C16" s="10" t="n">
        <v>960</v>
      </c>
      <c r="D16" s="10" t="n">
        <v>0</v>
      </c>
      <c r="E16" s="22" t="n">
        <f aca="false">C16-D16</f>
        <v>960</v>
      </c>
      <c r="F16" s="23" t="n">
        <f aca="false">IF(C16=0,"",D16/C16)</f>
        <v>0</v>
      </c>
      <c r="G16" s="5" t="n">
        <v>0</v>
      </c>
      <c r="H16" s="5" t="n">
        <v>12</v>
      </c>
      <c r="I16" s="5" t="s">
        <v>1541</v>
      </c>
    </row>
    <row r="17" customFormat="false" ht="15" hidden="false" customHeight="false" outlineLevel="0" collapsed="false">
      <c r="A17" s="5" t="s">
        <v>1542</v>
      </c>
      <c r="B17" s="5" t="s">
        <v>1524</v>
      </c>
      <c r="C17" s="10" t="n">
        <v>670</v>
      </c>
      <c r="D17" s="10" t="n">
        <v>0</v>
      </c>
      <c r="E17" s="22" t="n">
        <f aca="false">C17-D17</f>
        <v>670</v>
      </c>
      <c r="F17" s="23" t="n">
        <f aca="false">IF(C17=0,"",D17/C17)</f>
        <v>0</v>
      </c>
      <c r="G17" s="5" t="n">
        <v>0</v>
      </c>
      <c r="H17" s="5" t="n">
        <v>10</v>
      </c>
      <c r="I17" s="5" t="s">
        <v>1507</v>
      </c>
    </row>
    <row r="18" customFormat="false" ht="15" hidden="false" customHeight="false" outlineLevel="0" collapsed="false">
      <c r="A18" s="5" t="s">
        <v>1543</v>
      </c>
      <c r="B18" s="5" t="s">
        <v>1544</v>
      </c>
      <c r="C18" s="10" t="n">
        <v>60</v>
      </c>
      <c r="D18" s="10" t="n">
        <v>0</v>
      </c>
      <c r="E18" s="22" t="n">
        <f aca="false">C18-D18</f>
        <v>60</v>
      </c>
      <c r="F18" s="23" t="n">
        <f aca="false">IF(C18=0,"",D18/C18)</f>
        <v>0</v>
      </c>
      <c r="G18" s="5" t="n">
        <v>0</v>
      </c>
      <c r="H18" s="5" t="n">
        <v>10</v>
      </c>
      <c r="I18" s="5" t="s">
        <v>1545</v>
      </c>
    </row>
    <row r="19" customFormat="false" ht="15" hidden="false" customHeight="false" outlineLevel="0" collapsed="false">
      <c r="A19" s="5" t="s">
        <v>1546</v>
      </c>
      <c r="B19" s="6" t="s">
        <v>1547</v>
      </c>
      <c r="C19" s="10" t="n">
        <v>200</v>
      </c>
      <c r="D19" s="10" t="n">
        <v>0</v>
      </c>
      <c r="E19" s="22" t="n">
        <f aca="false">C19-D19</f>
        <v>200</v>
      </c>
      <c r="F19" s="23" t="n">
        <f aca="false">IF(C19=0,"",D19/C19)</f>
        <v>0</v>
      </c>
      <c r="G19" s="5" t="n">
        <v>0</v>
      </c>
      <c r="H19" s="5" t="n">
        <v>10</v>
      </c>
      <c r="I19" s="5" t="s">
        <v>1507</v>
      </c>
    </row>
    <row r="20" customFormat="false" ht="15" hidden="false" customHeight="false" outlineLevel="0" collapsed="false">
      <c r="A20" s="5" t="s">
        <v>1548</v>
      </c>
      <c r="B20" s="5" t="s">
        <v>1549</v>
      </c>
      <c r="C20" s="10" t="n">
        <v>168</v>
      </c>
      <c r="D20" s="10" t="n">
        <v>63</v>
      </c>
      <c r="E20" s="22" t="n">
        <f aca="false">C20-D20</f>
        <v>105</v>
      </c>
      <c r="F20" s="23" t="n">
        <f aca="false">IF(C20=0,"",D20/C20)</f>
        <v>0.375</v>
      </c>
      <c r="G20" s="5" t="n">
        <v>24</v>
      </c>
      <c r="H20" s="5" t="n">
        <v>10</v>
      </c>
      <c r="I20" s="5" t="s">
        <v>1550</v>
      </c>
    </row>
    <row r="21" customFormat="false" ht="15" hidden="false" customHeight="false" outlineLevel="0" collapsed="false">
      <c r="A21" s="5" t="s">
        <v>1551</v>
      </c>
      <c r="B21" s="6" t="s">
        <v>1552</v>
      </c>
      <c r="C21" s="10" t="n">
        <v>120</v>
      </c>
      <c r="D21" s="10" t="n">
        <v>0</v>
      </c>
      <c r="E21" s="22" t="n">
        <f aca="false">C21-D21</f>
        <v>120</v>
      </c>
      <c r="F21" s="23" t="n">
        <f aca="false">IF(C21=0,"",D21/C21)</f>
        <v>0</v>
      </c>
      <c r="G21" s="5" t="n">
        <v>0</v>
      </c>
      <c r="H21" s="5" t="n">
        <v>10</v>
      </c>
      <c r="I21" s="5" t="s">
        <v>1507</v>
      </c>
    </row>
    <row r="22" customFormat="false" ht="15" hidden="false" customHeight="false" outlineLevel="0" collapsed="false">
      <c r="A22" s="5" t="s">
        <v>1553</v>
      </c>
      <c r="B22" s="5" t="s">
        <v>1554</v>
      </c>
      <c r="C22" s="10" t="n">
        <v>70</v>
      </c>
      <c r="D22" s="10" t="n">
        <v>0</v>
      </c>
      <c r="E22" s="22" t="n">
        <f aca="false">C22-D22</f>
        <v>70</v>
      </c>
      <c r="F22" s="23" t="n">
        <f aca="false">IF(C22=0,"",D22/C22)</f>
        <v>0</v>
      </c>
      <c r="G22" s="5" t="n">
        <v>0</v>
      </c>
      <c r="H22" s="5" t="n">
        <v>7</v>
      </c>
      <c r="I22" s="5" t="s">
        <v>1507</v>
      </c>
    </row>
    <row r="23" customFormat="false" ht="15" hidden="false" customHeight="false" outlineLevel="0" collapsed="false">
      <c r="A23" s="5" t="s">
        <v>1555</v>
      </c>
      <c r="B23" s="5" t="s">
        <v>1556</v>
      </c>
      <c r="C23" s="10" t="n">
        <v>100</v>
      </c>
      <c r="D23" s="10" t="n">
        <v>0</v>
      </c>
      <c r="E23" s="22" t="n">
        <f aca="false">C23-D23</f>
        <v>100</v>
      </c>
      <c r="F23" s="23" t="n">
        <f aca="false">IF(C23=0,"",D23/C23)</f>
        <v>0</v>
      </c>
      <c r="G23" s="5" t="n">
        <v>0</v>
      </c>
      <c r="H23" s="5" t="n">
        <v>10</v>
      </c>
      <c r="I23" s="5" t="s">
        <v>1507</v>
      </c>
    </row>
    <row r="24" customFormat="false" ht="15" hidden="false" customHeight="false" outlineLevel="0" collapsed="false">
      <c r="A24" s="5" t="s">
        <v>1557</v>
      </c>
      <c r="B24" s="5" t="s">
        <v>1558</v>
      </c>
      <c r="C24" s="10" t="n">
        <v>168</v>
      </c>
      <c r="D24" s="10" t="n">
        <v>0</v>
      </c>
      <c r="E24" s="22" t="n">
        <f aca="false">C24-D24</f>
        <v>168</v>
      </c>
      <c r="F24" s="23" t="n">
        <f aca="false">IF(C24=0,"",D24/C24)</f>
        <v>0</v>
      </c>
      <c r="G24" s="5" t="n">
        <v>0</v>
      </c>
      <c r="H24" s="5" t="n">
        <v>12</v>
      </c>
      <c r="I24" s="5" t="s">
        <v>1507</v>
      </c>
    </row>
    <row r="25" customFormat="false" ht="15" hidden="false" customHeight="false" outlineLevel="0" collapsed="false">
      <c r="A25" s="5" t="s">
        <v>1559</v>
      </c>
      <c r="B25" s="6" t="s">
        <v>1560</v>
      </c>
      <c r="C25" s="10" t="n">
        <v>99</v>
      </c>
      <c r="D25" s="10" t="n">
        <v>9</v>
      </c>
      <c r="E25" s="22" t="n">
        <f aca="false">C25-D25</f>
        <v>90</v>
      </c>
      <c r="F25" s="23" t="n">
        <f aca="false">IF(C25=0,"",D25/C25)</f>
        <v>0.0909090909090909</v>
      </c>
      <c r="G25" s="5" t="n">
        <v>0</v>
      </c>
      <c r="H25" s="5" t="n">
        <v>10</v>
      </c>
      <c r="I25" s="5" t="s">
        <v>1507</v>
      </c>
    </row>
    <row r="26" customFormat="false" ht="15" hidden="false" customHeight="false" outlineLevel="0" collapsed="false">
      <c r="A26" s="5" t="s">
        <v>1561</v>
      </c>
      <c r="B26" s="6" t="s">
        <v>1562</v>
      </c>
      <c r="C26" s="10" t="n">
        <v>324</v>
      </c>
      <c r="D26" s="10" t="n">
        <v>0</v>
      </c>
      <c r="E26" s="22" t="n">
        <f aca="false">C26-D26</f>
        <v>324</v>
      </c>
      <c r="F26" s="23" t="n">
        <f aca="false">IF(C26=0,"",D26/C26)</f>
        <v>0</v>
      </c>
      <c r="G26" s="5" t="n">
        <v>0</v>
      </c>
      <c r="H26" s="5" t="n">
        <v>12</v>
      </c>
      <c r="I26" s="5" t="s">
        <v>1507</v>
      </c>
    </row>
    <row r="27" customFormat="false" ht="15" hidden="false" customHeight="false" outlineLevel="0" collapsed="false">
      <c r="A27" s="5" t="s">
        <v>1563</v>
      </c>
      <c r="B27" s="5" t="s">
        <v>1564</v>
      </c>
      <c r="C27" s="10" t="n">
        <v>3480</v>
      </c>
      <c r="D27" s="10" t="n">
        <v>0</v>
      </c>
      <c r="E27" s="22" t="n">
        <f aca="false">C27-D27</f>
        <v>3480</v>
      </c>
      <c r="F27" s="23" t="n">
        <f aca="false">IF(C27=0,"",D27/C27)</f>
        <v>0</v>
      </c>
      <c r="G27" s="5" t="n">
        <v>870</v>
      </c>
      <c r="H27" s="5" t="n">
        <v>8</v>
      </c>
      <c r="I27" s="6" t="s">
        <v>1565</v>
      </c>
    </row>
    <row r="28" customFormat="false" ht="15" hidden="false" customHeight="false" outlineLevel="0" collapsed="false">
      <c r="A28" s="15" t="s">
        <v>1366</v>
      </c>
      <c r="C28" s="17" t="n">
        <f aca="false">SUM(C2:C27)</f>
        <v>12460</v>
      </c>
      <c r="D28" s="17" t="n">
        <f aca="false">SUM(D2:D27)</f>
        <v>282</v>
      </c>
      <c r="E28" s="17" t="n">
        <f aca="false">SUM(E2:E27)</f>
        <v>12178</v>
      </c>
      <c r="F28" s="24" t="n">
        <f aca="false">D28/C28</f>
        <v>0.0226324237560193</v>
      </c>
      <c r="G28" s="17" t="n">
        <f aca="false">SUM(G2:G27)</f>
        <v>1258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6"/>
    <col collapsed="false" customWidth="true" hidden="false" outlineLevel="0" max="3" min="3" style="0" width="20"/>
    <col collapsed="false" customWidth="true" hidden="false" outlineLevel="0" max="4" min="4" style="0" width="36"/>
    <col collapsed="false" customWidth="true" hidden="false" outlineLevel="0" max="5" min="5" style="0" width="28"/>
    <col collapsed="false" customWidth="true" hidden="false" outlineLevel="0" max="7" min="6" style="0" width="12"/>
    <col collapsed="false" customWidth="true" hidden="false" outlineLevel="0" max="8" min="8" style="0" width="9"/>
    <col collapsed="false" customWidth="true" hidden="false" outlineLevel="0" max="9" min="9" style="0" width="16"/>
  </cols>
  <sheetData>
    <row r="1" customFormat="false" ht="15" hidden="false" customHeight="false" outlineLevel="0" collapsed="false">
      <c r="A1" s="14" t="s">
        <v>1566</v>
      </c>
    </row>
    <row r="3" customFormat="false" ht="23.85" hidden="false" customHeight="false" outlineLevel="0" collapsed="false">
      <c r="A3" s="4" t="s">
        <v>1496</v>
      </c>
      <c r="B3" s="4" t="s">
        <v>1567</v>
      </c>
      <c r="C3" s="4" t="s">
        <v>1568</v>
      </c>
      <c r="D3" s="4" t="s">
        <v>1569</v>
      </c>
      <c r="E3" s="4" t="s">
        <v>1570</v>
      </c>
      <c r="F3" s="4" t="s">
        <v>1571</v>
      </c>
      <c r="G3" s="4" t="s">
        <v>1572</v>
      </c>
      <c r="H3" s="4" t="s">
        <v>1573</v>
      </c>
      <c r="I3" s="4" t="s">
        <v>1574</v>
      </c>
    </row>
    <row r="4" customFormat="false" ht="15" hidden="false" customHeight="false" outlineLevel="0" collapsed="false">
      <c r="A4" s="5" t="s">
        <v>1513</v>
      </c>
      <c r="B4" s="5" t="s">
        <v>1514</v>
      </c>
      <c r="C4" s="5" t="s">
        <v>1575</v>
      </c>
      <c r="D4" s="5" t="s">
        <v>1576</v>
      </c>
      <c r="E4" s="5" t="s">
        <v>1577</v>
      </c>
      <c r="F4" s="5" t="s">
        <v>1578</v>
      </c>
      <c r="G4" s="5" t="s">
        <v>1579</v>
      </c>
      <c r="H4" s="5" t="n">
        <v>0</v>
      </c>
      <c r="I4" s="5" t="n">
        <v>131734</v>
      </c>
    </row>
    <row r="5" customFormat="false" ht="15" hidden="false" customHeight="false" outlineLevel="0" collapsed="false">
      <c r="A5" s="5" t="s">
        <v>1513</v>
      </c>
      <c r="B5" s="5" t="s">
        <v>1514</v>
      </c>
      <c r="C5" s="5" t="s">
        <v>1575</v>
      </c>
      <c r="D5" s="5" t="s">
        <v>1580</v>
      </c>
      <c r="E5" s="5" t="s">
        <v>1581</v>
      </c>
      <c r="F5" s="5" t="s">
        <v>1578</v>
      </c>
      <c r="G5" s="5" t="s">
        <v>1579</v>
      </c>
      <c r="H5" s="5" t="n">
        <v>0</v>
      </c>
      <c r="I5" s="5" t="n">
        <v>32146</v>
      </c>
    </row>
    <row r="6" customFormat="false" ht="15" hidden="false" customHeight="false" outlineLevel="0" collapsed="false">
      <c r="A6" s="5" t="s">
        <v>1513</v>
      </c>
      <c r="B6" s="5" t="s">
        <v>1514</v>
      </c>
      <c r="C6" s="5" t="s">
        <v>1575</v>
      </c>
      <c r="D6" s="5" t="s">
        <v>1582</v>
      </c>
      <c r="E6" s="5" t="s">
        <v>1583</v>
      </c>
      <c r="F6" s="5" t="s">
        <v>1578</v>
      </c>
      <c r="G6" s="5" t="s">
        <v>1579</v>
      </c>
      <c r="H6" s="5" t="n">
        <v>0</v>
      </c>
      <c r="I6" s="5" t="n">
        <v>27101</v>
      </c>
    </row>
    <row r="7" customFormat="false" ht="15" hidden="false" customHeight="false" outlineLevel="0" collapsed="false">
      <c r="A7" s="5" t="s">
        <v>1513</v>
      </c>
      <c r="B7" s="5" t="s">
        <v>1514</v>
      </c>
      <c r="C7" s="5" t="s">
        <v>1575</v>
      </c>
      <c r="D7" s="5" t="s">
        <v>1584</v>
      </c>
      <c r="E7" s="5" t="s">
        <v>1585</v>
      </c>
      <c r="F7" s="5" t="s">
        <v>1578</v>
      </c>
      <c r="G7" s="5" t="s">
        <v>1579</v>
      </c>
      <c r="H7" s="5" t="n">
        <v>0</v>
      </c>
      <c r="I7" s="5" t="n">
        <v>4711</v>
      </c>
    </row>
    <row r="8" customFormat="false" ht="15" hidden="false" customHeight="false" outlineLevel="0" collapsed="false">
      <c r="A8" s="5" t="s">
        <v>1513</v>
      </c>
      <c r="B8" s="5" t="s">
        <v>1514</v>
      </c>
      <c r="C8" s="5" t="s">
        <v>1575</v>
      </c>
      <c r="D8" s="5" t="s">
        <v>1586</v>
      </c>
      <c r="E8" s="5" t="s">
        <v>1587</v>
      </c>
      <c r="F8" s="5" t="s">
        <v>1578</v>
      </c>
      <c r="G8" s="5" t="s">
        <v>1579</v>
      </c>
      <c r="H8" s="5" t="n">
        <v>0</v>
      </c>
      <c r="I8" s="5" t="n">
        <v>22390</v>
      </c>
    </row>
    <row r="9" customFormat="false" ht="15" hidden="false" customHeight="false" outlineLevel="0" collapsed="false">
      <c r="A9" s="5" t="s">
        <v>1513</v>
      </c>
      <c r="B9" s="5" t="s">
        <v>1514</v>
      </c>
      <c r="C9" s="5" t="s">
        <v>1575</v>
      </c>
      <c r="D9" s="5" t="s">
        <v>1588</v>
      </c>
      <c r="E9" s="5" t="s">
        <v>1589</v>
      </c>
      <c r="F9" s="5" t="s">
        <v>1578</v>
      </c>
      <c r="G9" s="5" t="s">
        <v>1579</v>
      </c>
      <c r="H9" s="5" t="n">
        <v>0</v>
      </c>
      <c r="I9" s="5" t="n">
        <v>-8441</v>
      </c>
    </row>
    <row r="10" customFormat="false" ht="15" hidden="false" customHeight="false" outlineLevel="0" collapsed="false">
      <c r="A10" s="5" t="s">
        <v>1513</v>
      </c>
      <c r="B10" s="5" t="s">
        <v>1514</v>
      </c>
      <c r="C10" s="5" t="s">
        <v>1575</v>
      </c>
      <c r="D10" s="5" t="s">
        <v>1590</v>
      </c>
      <c r="E10" s="5" t="s">
        <v>1591</v>
      </c>
      <c r="F10" s="5" t="s">
        <v>1578</v>
      </c>
      <c r="G10" s="5" t="s">
        <v>1579</v>
      </c>
      <c r="H10" s="5" t="n">
        <v>0</v>
      </c>
      <c r="I10" s="5" t="n">
        <v>-2168</v>
      </c>
    </row>
    <row r="11" customFormat="false" ht="15" hidden="false" customHeight="false" outlineLevel="0" collapsed="false">
      <c r="A11" s="5" t="s">
        <v>1513</v>
      </c>
      <c r="B11" s="5" t="s">
        <v>1514</v>
      </c>
      <c r="C11" s="5" t="s">
        <v>1575</v>
      </c>
      <c r="D11" s="5" t="s">
        <v>1592</v>
      </c>
      <c r="E11" s="5" t="s">
        <v>1593</v>
      </c>
      <c r="F11" s="5" t="s">
        <v>1578</v>
      </c>
      <c r="G11" s="5" t="s">
        <v>1579</v>
      </c>
      <c r="H11" s="5" t="n">
        <v>0</v>
      </c>
      <c r="I11" s="5" t="n">
        <v>-96</v>
      </c>
    </row>
    <row r="12" customFormat="false" ht="15" hidden="false" customHeight="false" outlineLevel="0" collapsed="false">
      <c r="A12" s="5" t="s">
        <v>1513</v>
      </c>
      <c r="B12" s="5" t="s">
        <v>1514</v>
      </c>
      <c r="C12" s="5" t="s">
        <v>1575</v>
      </c>
      <c r="D12" s="5" t="s">
        <v>1594</v>
      </c>
      <c r="E12" s="5" t="s">
        <v>1595</v>
      </c>
      <c r="F12" s="5" t="s">
        <v>1578</v>
      </c>
      <c r="G12" s="5" t="s">
        <v>1579</v>
      </c>
      <c r="H12" s="5" t="n">
        <v>0</v>
      </c>
      <c r="I12" s="5" t="n">
        <v>-6177</v>
      </c>
    </row>
    <row r="13" customFormat="false" ht="15" hidden="false" customHeight="false" outlineLevel="0" collapsed="false">
      <c r="A13" s="5" t="s">
        <v>1513</v>
      </c>
      <c r="B13" s="5" t="s">
        <v>1514</v>
      </c>
      <c r="C13" s="5" t="s">
        <v>1575</v>
      </c>
      <c r="D13" s="5" t="s">
        <v>1596</v>
      </c>
      <c r="E13" s="5" t="s">
        <v>1597</v>
      </c>
      <c r="F13" s="5" t="s">
        <v>1578</v>
      </c>
      <c r="G13" s="5" t="s">
        <v>1579</v>
      </c>
      <c r="H13" s="5" t="n">
        <v>0</v>
      </c>
      <c r="I13" s="5" t="n">
        <v>0</v>
      </c>
    </row>
    <row r="14" customFormat="false" ht="15" hidden="false" customHeight="false" outlineLevel="0" collapsed="false">
      <c r="A14" s="5" t="s">
        <v>1513</v>
      </c>
      <c r="B14" s="5" t="s">
        <v>1514</v>
      </c>
      <c r="C14" s="5" t="s">
        <v>1575</v>
      </c>
      <c r="D14" s="5" t="s">
        <v>1575</v>
      </c>
      <c r="E14" s="5" t="s">
        <v>1598</v>
      </c>
      <c r="F14" s="5" t="s">
        <v>1578</v>
      </c>
      <c r="G14" s="5" t="s">
        <v>1579</v>
      </c>
      <c r="H14" s="5" t="n">
        <v>0</v>
      </c>
      <c r="I14" s="5" t="n">
        <v>182540</v>
      </c>
    </row>
    <row r="15" customFormat="false" ht="15" hidden="false" customHeight="false" outlineLevel="0" collapsed="false">
      <c r="A15" s="5" t="s">
        <v>1513</v>
      </c>
      <c r="B15" s="5" t="s">
        <v>1514</v>
      </c>
      <c r="C15" s="5" t="s">
        <v>1599</v>
      </c>
      <c r="D15" s="5" t="s">
        <v>1600</v>
      </c>
      <c r="E15" s="5" t="s">
        <v>1601</v>
      </c>
      <c r="F15" s="5" t="s">
        <v>1578</v>
      </c>
      <c r="G15" s="5" t="s">
        <v>1579</v>
      </c>
      <c r="H15" s="5" t="n">
        <v>0</v>
      </c>
      <c r="I15" s="5" t="n">
        <v>-16840</v>
      </c>
    </row>
    <row r="16" customFormat="false" ht="15" hidden="false" customHeight="false" outlineLevel="0" collapsed="false">
      <c r="A16" s="5" t="s">
        <v>1513</v>
      </c>
      <c r="B16" s="5" t="s">
        <v>1514</v>
      </c>
      <c r="C16" s="5" t="s">
        <v>1599</v>
      </c>
      <c r="D16" s="5" t="s">
        <v>1602</v>
      </c>
      <c r="E16" s="5" t="s">
        <v>1603</v>
      </c>
      <c r="F16" s="5" t="s">
        <v>1578</v>
      </c>
      <c r="G16" s="5" t="s">
        <v>1579</v>
      </c>
      <c r="H16" s="5" t="n">
        <v>0</v>
      </c>
      <c r="I16" s="5" t="n">
        <v>289</v>
      </c>
    </row>
    <row r="17" customFormat="false" ht="15" hidden="false" customHeight="false" outlineLevel="0" collapsed="false">
      <c r="A17" s="5" t="s">
        <v>1513</v>
      </c>
      <c r="B17" s="5" t="s">
        <v>1514</v>
      </c>
      <c r="C17" s="5" t="s">
        <v>1599</v>
      </c>
      <c r="D17" s="5" t="s">
        <v>1604</v>
      </c>
      <c r="E17" s="5" t="s">
        <v>1605</v>
      </c>
      <c r="F17" s="5" t="s">
        <v>1578</v>
      </c>
      <c r="G17" s="5" t="s">
        <v>1579</v>
      </c>
      <c r="H17" s="5" t="n">
        <v>0</v>
      </c>
      <c r="I17" s="5" t="n">
        <v>289</v>
      </c>
    </row>
    <row r="18" customFormat="false" ht="15" hidden="false" customHeight="false" outlineLevel="0" collapsed="false">
      <c r="A18" s="5" t="s">
        <v>1513</v>
      </c>
      <c r="B18" s="5" t="s">
        <v>1514</v>
      </c>
      <c r="C18" s="5" t="s">
        <v>1599</v>
      </c>
      <c r="D18" s="5" t="s">
        <v>1606</v>
      </c>
      <c r="E18" s="5" t="s">
        <v>1607</v>
      </c>
      <c r="F18" s="5" t="s">
        <v>1578</v>
      </c>
      <c r="G18" s="5" t="s">
        <v>1579</v>
      </c>
      <c r="H18" s="5" t="n">
        <v>0</v>
      </c>
      <c r="I18" s="5" t="n">
        <v>0</v>
      </c>
    </row>
    <row r="19" customFormat="false" ht="15" hidden="false" customHeight="false" outlineLevel="0" collapsed="false">
      <c r="A19" s="5" t="s">
        <v>1513</v>
      </c>
      <c r="B19" s="5" t="s">
        <v>1514</v>
      </c>
      <c r="C19" s="5" t="s">
        <v>1599</v>
      </c>
      <c r="D19" s="5" t="s">
        <v>1608</v>
      </c>
      <c r="E19" s="5" t="s">
        <v>1609</v>
      </c>
      <c r="F19" s="5" t="s">
        <v>1578</v>
      </c>
      <c r="G19" s="5" t="s">
        <v>1579</v>
      </c>
      <c r="H19" s="5" t="n">
        <v>0</v>
      </c>
      <c r="I19" s="5" t="n">
        <v>-17129</v>
      </c>
    </row>
    <row r="20" customFormat="false" ht="15" hidden="false" customHeight="false" outlineLevel="0" collapsed="false">
      <c r="A20" s="5" t="s">
        <v>1513</v>
      </c>
      <c r="B20" s="5" t="s">
        <v>1514</v>
      </c>
      <c r="C20" s="5" t="s">
        <v>1599</v>
      </c>
      <c r="D20" s="5" t="s">
        <v>1610</v>
      </c>
      <c r="E20" s="5" t="s">
        <v>1611</v>
      </c>
      <c r="F20" s="5" t="s">
        <v>1578</v>
      </c>
      <c r="G20" s="5" t="s">
        <v>1579</v>
      </c>
      <c r="H20" s="5" t="n">
        <v>0</v>
      </c>
      <c r="I20" s="5" t="n">
        <v>-17129</v>
      </c>
    </row>
    <row r="21" customFormat="false" ht="15" hidden="false" customHeight="false" outlineLevel="0" collapsed="false">
      <c r="A21" s="5" t="s">
        <v>1513</v>
      </c>
      <c r="B21" s="5" t="s">
        <v>1514</v>
      </c>
      <c r="C21" s="5" t="s">
        <v>1599</v>
      </c>
      <c r="D21" s="5" t="s">
        <v>1612</v>
      </c>
      <c r="E21" s="5" t="s">
        <v>1613</v>
      </c>
      <c r="F21" s="5" t="s">
        <v>1578</v>
      </c>
      <c r="G21" s="5" t="s">
        <v>1579</v>
      </c>
      <c r="H21" s="5" t="n">
        <v>0</v>
      </c>
      <c r="I21" s="5" t="n">
        <v>0</v>
      </c>
    </row>
    <row r="22" customFormat="false" ht="15" hidden="false" customHeight="false" outlineLevel="0" collapsed="false">
      <c r="A22" s="5" t="s">
        <v>1513</v>
      </c>
      <c r="B22" s="5" t="s">
        <v>1514</v>
      </c>
      <c r="C22" s="5" t="s">
        <v>1599</v>
      </c>
      <c r="D22" s="5" t="s">
        <v>1614</v>
      </c>
      <c r="E22" s="5" t="s">
        <v>1615</v>
      </c>
      <c r="F22" s="5" t="s">
        <v>1578</v>
      </c>
      <c r="G22" s="5" t="s">
        <v>1579</v>
      </c>
      <c r="H22" s="5" t="n">
        <v>0</v>
      </c>
      <c r="I22" s="5" t="n">
        <v>0</v>
      </c>
    </row>
    <row r="23" customFormat="false" ht="15" hidden="false" customHeight="false" outlineLevel="0" collapsed="false">
      <c r="A23" s="5" t="s">
        <v>1513</v>
      </c>
      <c r="B23" s="5" t="s">
        <v>1514</v>
      </c>
      <c r="C23" s="5" t="s">
        <v>1599</v>
      </c>
      <c r="D23" s="5" t="s">
        <v>1616</v>
      </c>
      <c r="E23" s="5" t="s">
        <v>1617</v>
      </c>
      <c r="F23" s="5" t="s">
        <v>1578</v>
      </c>
      <c r="G23" s="5" t="s">
        <v>1579</v>
      </c>
      <c r="H23" s="5" t="n">
        <v>0</v>
      </c>
      <c r="I23" s="5" t="n">
        <v>0</v>
      </c>
    </row>
    <row r="24" customFormat="false" ht="15" hidden="false" customHeight="false" outlineLevel="0" collapsed="false">
      <c r="A24" s="5" t="s">
        <v>1513</v>
      </c>
      <c r="B24" s="5" t="s">
        <v>1514</v>
      </c>
      <c r="C24" s="5" t="s">
        <v>1599</v>
      </c>
      <c r="D24" s="5" t="s">
        <v>1618</v>
      </c>
      <c r="E24" s="5" t="s">
        <v>1619</v>
      </c>
      <c r="F24" s="5" t="s">
        <v>1578</v>
      </c>
      <c r="G24" s="5" t="s">
        <v>1579</v>
      </c>
      <c r="H24" s="5" t="n">
        <v>0</v>
      </c>
      <c r="I24" s="5" t="n">
        <v>0</v>
      </c>
    </row>
    <row r="25" customFormat="false" ht="15" hidden="false" customHeight="false" outlineLevel="0" collapsed="false">
      <c r="A25" s="5" t="s">
        <v>1513</v>
      </c>
      <c r="B25" s="5" t="s">
        <v>1514</v>
      </c>
      <c r="C25" s="5" t="s">
        <v>1599</v>
      </c>
      <c r="D25" s="5" t="s">
        <v>1620</v>
      </c>
      <c r="E25" s="5" t="s">
        <v>1621</v>
      </c>
      <c r="F25" s="5" t="s">
        <v>1578</v>
      </c>
      <c r="G25" s="5" t="s">
        <v>1579</v>
      </c>
      <c r="H25" s="5" t="n">
        <v>0</v>
      </c>
      <c r="I25" s="5" t="n">
        <v>-59356</v>
      </c>
    </row>
    <row r="26" customFormat="false" ht="15" hidden="false" customHeight="false" outlineLevel="0" collapsed="false">
      <c r="A26" s="5" t="s">
        <v>1513</v>
      </c>
      <c r="B26" s="5" t="s">
        <v>1514</v>
      </c>
      <c r="C26" s="5" t="s">
        <v>1599</v>
      </c>
      <c r="D26" s="5" t="s">
        <v>1622</v>
      </c>
      <c r="E26" s="5" t="s">
        <v>1623</v>
      </c>
      <c r="F26" s="5" t="s">
        <v>1578</v>
      </c>
      <c r="G26" s="5" t="s">
        <v>1579</v>
      </c>
      <c r="H26" s="5" t="n">
        <v>0</v>
      </c>
      <c r="I26" s="5" t="n">
        <v>0</v>
      </c>
    </row>
    <row r="27" customFormat="false" ht="15" hidden="false" customHeight="false" outlineLevel="0" collapsed="false">
      <c r="A27" s="5" t="s">
        <v>1513</v>
      </c>
      <c r="B27" s="5" t="s">
        <v>1514</v>
      </c>
      <c r="C27" s="5" t="s">
        <v>1599</v>
      </c>
      <c r="D27" s="5" t="s">
        <v>1624</v>
      </c>
      <c r="E27" s="5" t="s">
        <v>1625</v>
      </c>
      <c r="F27" s="5" t="s">
        <v>1578</v>
      </c>
      <c r="G27" s="5" t="s">
        <v>1579</v>
      </c>
      <c r="H27" s="5" t="n">
        <v>0</v>
      </c>
      <c r="I27" s="5" t="n">
        <v>-59004</v>
      </c>
    </row>
    <row r="28" customFormat="false" ht="15" hidden="false" customHeight="false" outlineLevel="0" collapsed="false">
      <c r="A28" s="5" t="s">
        <v>1513</v>
      </c>
      <c r="B28" s="5" t="s">
        <v>1514</v>
      </c>
      <c r="C28" s="5" t="s">
        <v>1599</v>
      </c>
      <c r="D28" s="5" t="s">
        <v>1626</v>
      </c>
      <c r="E28" s="5" t="s">
        <v>1627</v>
      </c>
      <c r="F28" s="5" t="s">
        <v>1578</v>
      </c>
      <c r="G28" s="5" t="s">
        <v>1579</v>
      </c>
      <c r="H28" s="5" t="n">
        <v>0</v>
      </c>
      <c r="I28" s="5" t="n">
        <v>-352</v>
      </c>
    </row>
    <row r="29" customFormat="false" ht="15" hidden="false" customHeight="false" outlineLevel="0" collapsed="false">
      <c r="A29" s="5" t="s">
        <v>1513</v>
      </c>
      <c r="B29" s="5" t="s">
        <v>1514</v>
      </c>
      <c r="C29" s="5" t="s">
        <v>1599</v>
      </c>
      <c r="D29" s="5" t="s">
        <v>1628</v>
      </c>
      <c r="E29" s="5" t="s">
        <v>1629</v>
      </c>
      <c r="F29" s="5" t="s">
        <v>1578</v>
      </c>
      <c r="G29" s="5" t="s">
        <v>1579</v>
      </c>
      <c r="H29" s="5" t="n">
        <v>0</v>
      </c>
      <c r="I29" s="5" t="n">
        <v>56021</v>
      </c>
    </row>
    <row r="30" customFormat="false" ht="15" hidden="false" customHeight="false" outlineLevel="0" collapsed="false">
      <c r="A30" s="5" t="s">
        <v>1513</v>
      </c>
      <c r="B30" s="5" t="s">
        <v>1514</v>
      </c>
      <c r="C30" s="5" t="s">
        <v>1599</v>
      </c>
      <c r="D30" s="5" t="s">
        <v>1599</v>
      </c>
      <c r="E30" s="5" t="s">
        <v>1630</v>
      </c>
      <c r="F30" s="5" t="s">
        <v>1578</v>
      </c>
      <c r="G30" s="5" t="s">
        <v>1579</v>
      </c>
      <c r="H30" s="5" t="n">
        <v>0</v>
      </c>
      <c r="I30" s="5" t="n">
        <v>-20175</v>
      </c>
    </row>
    <row r="31" customFormat="false" ht="15" hidden="false" customHeight="false" outlineLevel="0" collapsed="false">
      <c r="A31" s="5" t="s">
        <v>1513</v>
      </c>
      <c r="B31" s="5" t="s">
        <v>1514</v>
      </c>
      <c r="C31" s="5" t="s">
        <v>1631</v>
      </c>
      <c r="D31" s="5" t="s">
        <v>1632</v>
      </c>
      <c r="E31" s="5" t="s">
        <v>1633</v>
      </c>
      <c r="F31" s="5" t="s">
        <v>1578</v>
      </c>
      <c r="G31" s="5" t="s">
        <v>1579</v>
      </c>
      <c r="H31" s="5" t="n">
        <v>0</v>
      </c>
      <c r="I31" s="5" t="n">
        <v>-82636</v>
      </c>
    </row>
    <row r="32" customFormat="false" ht="15" hidden="false" customHeight="false" outlineLevel="0" collapsed="false">
      <c r="A32" s="5" t="s">
        <v>1513</v>
      </c>
      <c r="B32" s="5" t="s">
        <v>1514</v>
      </c>
      <c r="C32" s="5" t="s">
        <v>1631</v>
      </c>
      <c r="D32" s="5" t="s">
        <v>1634</v>
      </c>
      <c r="E32" s="5" t="s">
        <v>1635</v>
      </c>
      <c r="F32" s="5" t="s">
        <v>1578</v>
      </c>
      <c r="G32" s="5" t="s">
        <v>1579</v>
      </c>
      <c r="H32" s="5" t="n">
        <v>0</v>
      </c>
      <c r="I32" s="5" t="n">
        <v>33049</v>
      </c>
    </row>
    <row r="33" customFormat="false" ht="15" hidden="false" customHeight="false" outlineLevel="0" collapsed="false">
      <c r="A33" s="5" t="s">
        <v>1513</v>
      </c>
      <c r="B33" s="5" t="s">
        <v>1514</v>
      </c>
      <c r="C33" s="5" t="s">
        <v>1631</v>
      </c>
      <c r="D33" s="5" t="s">
        <v>1636</v>
      </c>
      <c r="E33" s="5" t="s">
        <v>1637</v>
      </c>
      <c r="F33" s="5" t="s">
        <v>1578</v>
      </c>
      <c r="G33" s="5" t="s">
        <v>1579</v>
      </c>
      <c r="H33" s="5" t="n">
        <v>0</v>
      </c>
      <c r="I33" s="5" t="n">
        <v>-153326</v>
      </c>
    </row>
    <row r="34" customFormat="false" ht="15" hidden="false" customHeight="false" outlineLevel="0" collapsed="false">
      <c r="A34" s="5" t="s">
        <v>1513</v>
      </c>
      <c r="B34" s="5" t="s">
        <v>1514</v>
      </c>
      <c r="C34" s="5" t="s">
        <v>1631</v>
      </c>
      <c r="D34" s="5" t="s">
        <v>1638</v>
      </c>
      <c r="E34" s="5" t="s">
        <v>1639</v>
      </c>
      <c r="F34" s="5" t="s">
        <v>1578</v>
      </c>
      <c r="G34" s="5" t="s">
        <v>1579</v>
      </c>
      <c r="H34" s="5" t="n">
        <v>0</v>
      </c>
      <c r="I34" s="5" t="n">
        <v>33</v>
      </c>
    </row>
    <row r="35" customFormat="false" ht="15" hidden="false" customHeight="false" outlineLevel="0" collapsed="false">
      <c r="A35" s="5" t="s">
        <v>1513</v>
      </c>
      <c r="B35" s="5" t="s">
        <v>1514</v>
      </c>
      <c r="C35" s="5" t="s">
        <v>1631</v>
      </c>
      <c r="D35" s="5" t="s">
        <v>1640</v>
      </c>
      <c r="E35" s="5" t="s">
        <v>1641</v>
      </c>
      <c r="F35" s="5" t="s">
        <v>1578</v>
      </c>
      <c r="G35" s="5" t="s">
        <v>1579</v>
      </c>
      <c r="H35" s="5" t="n">
        <v>0</v>
      </c>
      <c r="I35" s="5" t="n">
        <v>-153359</v>
      </c>
    </row>
    <row r="36" customFormat="false" ht="15" hidden="false" customHeight="false" outlineLevel="0" collapsed="false">
      <c r="A36" s="5" t="s">
        <v>1513</v>
      </c>
      <c r="B36" s="5" t="s">
        <v>1514</v>
      </c>
      <c r="C36" s="5" t="s">
        <v>1631</v>
      </c>
      <c r="D36" s="5" t="s">
        <v>1642</v>
      </c>
      <c r="E36" s="5" t="s">
        <v>1643</v>
      </c>
      <c r="F36" s="5" t="s">
        <v>1578</v>
      </c>
      <c r="G36" s="5" t="s">
        <v>1579</v>
      </c>
      <c r="H36" s="5" t="n">
        <v>0</v>
      </c>
      <c r="I36" s="5" t="n">
        <v>-400</v>
      </c>
    </row>
    <row r="37" customFormat="false" ht="15" hidden="false" customHeight="false" outlineLevel="0" collapsed="false">
      <c r="A37" s="5" t="s">
        <v>1513</v>
      </c>
      <c r="B37" s="5" t="s">
        <v>1514</v>
      </c>
      <c r="C37" s="5" t="s">
        <v>1631</v>
      </c>
      <c r="D37" s="5" t="s">
        <v>1631</v>
      </c>
      <c r="E37" s="5" t="s">
        <v>1644</v>
      </c>
      <c r="F37" s="5" t="s">
        <v>1578</v>
      </c>
      <c r="G37" s="5" t="s">
        <v>1579</v>
      </c>
      <c r="H37" s="5" t="n">
        <v>0</v>
      </c>
      <c r="I37" s="5" t="n">
        <v>-203313</v>
      </c>
    </row>
    <row r="38" customFormat="false" ht="15" hidden="false" customHeight="false" outlineLevel="0" collapsed="false">
      <c r="A38" s="5" t="s">
        <v>1513</v>
      </c>
      <c r="B38" s="5" t="s">
        <v>1514</v>
      </c>
      <c r="C38" s="5" t="s">
        <v>1631</v>
      </c>
      <c r="D38" s="5" t="s">
        <v>1645</v>
      </c>
      <c r="E38" s="5" t="s">
        <v>1646</v>
      </c>
      <c r="F38" s="5" t="s">
        <v>1578</v>
      </c>
      <c r="G38" s="5" t="s">
        <v>1579</v>
      </c>
      <c r="H38" s="5" t="n">
        <v>0</v>
      </c>
      <c r="I38" s="5" t="n">
        <v>5127</v>
      </c>
    </row>
    <row r="39" customFormat="false" ht="15" hidden="false" customHeight="false" outlineLevel="0" collapsed="false">
      <c r="A39" s="5" t="s">
        <v>1513</v>
      </c>
      <c r="B39" s="5" t="s">
        <v>1514</v>
      </c>
      <c r="C39" s="5" t="s">
        <v>1631</v>
      </c>
      <c r="D39" s="5" t="s">
        <v>1647</v>
      </c>
      <c r="E39" s="5" t="s">
        <v>1648</v>
      </c>
      <c r="F39" s="5" t="s">
        <v>1578</v>
      </c>
      <c r="G39" s="5" t="s">
        <v>1579</v>
      </c>
      <c r="H39" s="5" t="n">
        <v>0</v>
      </c>
      <c r="I39" s="5" t="n">
        <v>-35821</v>
      </c>
    </row>
    <row r="40" customFormat="false" ht="15" hidden="false" customHeight="false" outlineLevel="0" collapsed="false">
      <c r="A40" s="5" t="s">
        <v>1513</v>
      </c>
      <c r="B40" s="5" t="s">
        <v>1514</v>
      </c>
      <c r="C40" s="5" t="s">
        <v>1631</v>
      </c>
      <c r="D40" s="5" t="s">
        <v>1649</v>
      </c>
      <c r="E40" s="5" t="s">
        <v>1650</v>
      </c>
      <c r="F40" s="5" t="s">
        <v>1578</v>
      </c>
      <c r="G40" s="5" t="s">
        <v>1579</v>
      </c>
      <c r="H40" s="5" t="n">
        <v>0</v>
      </c>
      <c r="I40" s="5" t="n">
        <v>25279</v>
      </c>
    </row>
    <row r="41" customFormat="false" ht="15" hidden="false" customHeight="false" outlineLevel="0" collapsed="false">
      <c r="A41" s="5" t="s">
        <v>1513</v>
      </c>
      <c r="B41" s="5" t="s">
        <v>1514</v>
      </c>
      <c r="C41" s="5" t="s">
        <v>1631</v>
      </c>
      <c r="D41" s="5" t="s">
        <v>1651</v>
      </c>
      <c r="E41" s="5" t="s">
        <v>1652</v>
      </c>
      <c r="F41" s="5" t="s">
        <v>1578</v>
      </c>
      <c r="G41" s="5" t="s">
        <v>1579</v>
      </c>
      <c r="H41" s="5" t="n">
        <v>0</v>
      </c>
      <c r="I41" s="5" t="n">
        <v>8698</v>
      </c>
    </row>
    <row r="42" customFormat="false" ht="15" hidden="false" customHeight="false" outlineLevel="0" collapsed="false">
      <c r="A42" s="5" t="s">
        <v>1513</v>
      </c>
      <c r="B42" s="5" t="s">
        <v>1514</v>
      </c>
      <c r="C42" s="5" t="s">
        <v>1653</v>
      </c>
      <c r="D42" s="5" t="s">
        <v>1654</v>
      </c>
      <c r="E42" s="5" t="s">
        <v>1654</v>
      </c>
      <c r="F42" s="5" t="s">
        <v>1578</v>
      </c>
      <c r="G42" s="5" t="s">
        <v>1579</v>
      </c>
      <c r="H42" s="5" t="n">
        <v>0</v>
      </c>
      <c r="I42" s="5" t="n">
        <v>187148</v>
      </c>
    </row>
    <row r="43" customFormat="false" ht="15" hidden="false" customHeight="false" outlineLevel="0" collapsed="false">
      <c r="A43" s="5" t="s">
        <v>1513</v>
      </c>
      <c r="B43" s="5" t="s">
        <v>1514</v>
      </c>
      <c r="C43" s="5" t="s">
        <v>1653</v>
      </c>
      <c r="D43" s="5" t="s">
        <v>1655</v>
      </c>
      <c r="E43" s="5" t="s">
        <v>1656</v>
      </c>
      <c r="F43" s="5" t="s">
        <v>1578</v>
      </c>
      <c r="G43" s="5" t="s">
        <v>1579</v>
      </c>
      <c r="H43" s="5" t="n">
        <v>0</v>
      </c>
      <c r="I43" s="5" t="n">
        <v>19.2889550355894</v>
      </c>
    </row>
    <row r="44" customFormat="false" ht="15" hidden="false" customHeight="false" outlineLevel="0" collapsed="false">
      <c r="A44" s="5" t="s">
        <v>1513</v>
      </c>
      <c r="B44" s="5" t="s">
        <v>1514</v>
      </c>
      <c r="C44" s="5" t="s">
        <v>1653</v>
      </c>
      <c r="D44" s="5" t="s">
        <v>1657</v>
      </c>
      <c r="E44" s="5" t="s">
        <v>1658</v>
      </c>
      <c r="F44" s="5" t="s">
        <v>1578</v>
      </c>
      <c r="G44" s="5" t="s">
        <v>1579</v>
      </c>
      <c r="H44" s="5" t="n">
        <v>0</v>
      </c>
      <c r="I44" s="5" t="n">
        <v>30983</v>
      </c>
    </row>
    <row r="45" customFormat="false" ht="15" hidden="false" customHeight="false" outlineLevel="0" collapsed="false">
      <c r="A45" s="5" t="s">
        <v>1513</v>
      </c>
      <c r="B45" s="5" t="s">
        <v>1514</v>
      </c>
      <c r="C45" s="5" t="s">
        <v>1653</v>
      </c>
      <c r="D45" s="5" t="s">
        <v>1659</v>
      </c>
      <c r="E45" s="5" t="s">
        <v>1660</v>
      </c>
      <c r="F45" s="5" t="s">
        <v>1578</v>
      </c>
      <c r="G45" s="5" t="s">
        <v>1579</v>
      </c>
      <c r="H45" s="5" t="n">
        <v>0</v>
      </c>
      <c r="I45" s="5" t="n">
        <v>165411</v>
      </c>
    </row>
    <row r="46" customFormat="false" ht="15" hidden="false" customHeight="false" outlineLevel="0" collapsed="false">
      <c r="A46" s="5" t="s">
        <v>1513</v>
      </c>
      <c r="B46" s="5" t="s">
        <v>1514</v>
      </c>
      <c r="C46" s="5" t="s">
        <v>1653</v>
      </c>
      <c r="D46" s="5" t="s">
        <v>1661</v>
      </c>
      <c r="E46" s="5" t="s">
        <v>1662</v>
      </c>
      <c r="F46" s="5" t="s">
        <v>1578</v>
      </c>
      <c r="G46" s="5" t="s">
        <v>1579</v>
      </c>
      <c r="H46" s="5" t="n">
        <v>0</v>
      </c>
      <c r="I46" s="5" t="n">
        <v>178796.134115423</v>
      </c>
    </row>
    <row r="47" customFormat="false" ht="15" hidden="false" customHeight="false" outlineLevel="0" collapsed="false">
      <c r="A47" s="5" t="s">
        <v>1513</v>
      </c>
      <c r="B47" s="5" t="s">
        <v>1514</v>
      </c>
      <c r="C47" s="5" t="s">
        <v>1653</v>
      </c>
      <c r="D47" s="5" t="s">
        <v>1663</v>
      </c>
      <c r="E47" s="5" t="s">
        <v>1664</v>
      </c>
      <c r="F47" s="5" t="s">
        <v>1578</v>
      </c>
      <c r="G47" s="5" t="s">
        <v>1579</v>
      </c>
      <c r="H47" s="5" t="n">
        <v>0</v>
      </c>
      <c r="I47" s="5" t="n">
        <v>198749</v>
      </c>
    </row>
    <row r="48" customFormat="false" ht="15" hidden="false" customHeight="false" outlineLevel="0" collapsed="false">
      <c r="A48" s="5" t="s">
        <v>1513</v>
      </c>
      <c r="B48" s="5" t="s">
        <v>1514</v>
      </c>
      <c r="C48" s="5" t="s">
        <v>1653</v>
      </c>
      <c r="D48" s="5" t="s">
        <v>1665</v>
      </c>
      <c r="E48" s="5" t="s">
        <v>1666</v>
      </c>
      <c r="F48" s="5" t="s">
        <v>1578</v>
      </c>
      <c r="G48" s="5" t="s">
        <v>1579</v>
      </c>
      <c r="H48" s="5" t="n">
        <v>0</v>
      </c>
      <c r="I48" s="5" t="n">
        <v>16.0902784579107</v>
      </c>
    </row>
    <row r="49" customFormat="false" ht="15" hidden="false" customHeight="false" outlineLevel="0" collapsed="false">
      <c r="A49" s="5" t="s">
        <v>1513</v>
      </c>
      <c r="B49" s="5" t="s">
        <v>1514</v>
      </c>
      <c r="C49" s="5" t="s">
        <v>1653</v>
      </c>
      <c r="D49" s="5" t="s">
        <v>1667</v>
      </c>
      <c r="E49" s="5" t="s">
        <v>1668</v>
      </c>
      <c r="F49" s="5" t="s">
        <v>1578</v>
      </c>
      <c r="G49" s="5" t="s">
        <v>1579</v>
      </c>
      <c r="H49" s="5" t="n">
        <v>0</v>
      </c>
      <c r="I49" s="5" t="n">
        <v>11.4305043663506</v>
      </c>
    </row>
    <row r="50" customFormat="false" ht="15" hidden="false" customHeight="false" outlineLevel="0" collapsed="false">
      <c r="A50" s="5" t="s">
        <v>1513</v>
      </c>
      <c r="B50" s="5" t="s">
        <v>1514</v>
      </c>
      <c r="C50" s="5" t="s">
        <v>1653</v>
      </c>
      <c r="D50" s="5" t="s">
        <v>1669</v>
      </c>
      <c r="E50" s="5" t="s">
        <v>1670</v>
      </c>
      <c r="F50" s="5" t="s">
        <v>1578</v>
      </c>
      <c r="G50" s="5" t="s">
        <v>1579</v>
      </c>
      <c r="H50" s="5" t="n">
        <v>0</v>
      </c>
      <c r="I50" s="5" t="n">
        <v>1.79513216271949</v>
      </c>
    </row>
    <row r="51" customFormat="false" ht="15" hidden="false" customHeight="false" outlineLevel="0" collapsed="false">
      <c r="A51" s="5" t="s">
        <v>1517</v>
      </c>
      <c r="B51" s="5" t="s">
        <v>1518</v>
      </c>
      <c r="C51" s="5"/>
      <c r="D51" s="5" t="s">
        <v>1671</v>
      </c>
      <c r="E51" s="5" t="s">
        <v>1672</v>
      </c>
      <c r="F51" s="5" t="s">
        <v>1578</v>
      </c>
      <c r="G51" s="5" t="s">
        <v>1579</v>
      </c>
      <c r="H51" s="5" t="n">
        <v>0</v>
      </c>
      <c r="I51" s="5" t="n">
        <v>970234</v>
      </c>
    </row>
    <row r="52" customFormat="false" ht="15" hidden="false" customHeight="false" outlineLevel="0" collapsed="false">
      <c r="A52" s="5" t="s">
        <v>1517</v>
      </c>
      <c r="B52" s="5" t="s">
        <v>1518</v>
      </c>
      <c r="C52" s="5"/>
      <c r="D52" s="5" t="s">
        <v>1671</v>
      </c>
      <c r="E52" s="5" t="s">
        <v>1672</v>
      </c>
      <c r="F52" s="5" t="s">
        <v>1673</v>
      </c>
      <c r="G52" s="5" t="s">
        <v>1674</v>
      </c>
      <c r="H52" s="5" t="n">
        <v>1</v>
      </c>
      <c r="I52" s="5" t="n">
        <v>989878.6</v>
      </c>
    </row>
    <row r="53" customFormat="false" ht="15" hidden="false" customHeight="false" outlineLevel="0" collapsed="false">
      <c r="A53" s="5" t="s">
        <v>1517</v>
      </c>
      <c r="B53" s="5" t="s">
        <v>1518</v>
      </c>
      <c r="C53" s="5"/>
      <c r="D53" s="5" t="s">
        <v>1671</v>
      </c>
      <c r="E53" s="5" t="s">
        <v>1672</v>
      </c>
      <c r="F53" s="5" t="s">
        <v>1675</v>
      </c>
      <c r="G53" s="5" t="s">
        <v>1676</v>
      </c>
      <c r="H53" s="5" t="n">
        <v>1</v>
      </c>
      <c r="I53" s="5" t="n">
        <v>1017536.725</v>
      </c>
    </row>
    <row r="54" customFormat="false" ht="15" hidden="false" customHeight="false" outlineLevel="0" collapsed="false">
      <c r="A54" s="5" t="s">
        <v>1517</v>
      </c>
      <c r="B54" s="5" t="s">
        <v>1518</v>
      </c>
      <c r="C54" s="5"/>
      <c r="D54" s="5" t="s">
        <v>1677</v>
      </c>
      <c r="E54" s="5" t="s">
        <v>1678</v>
      </c>
      <c r="F54" s="5" t="s">
        <v>1578</v>
      </c>
      <c r="G54" s="5" t="s">
        <v>1579</v>
      </c>
      <c r="H54" s="5" t="n">
        <v>0</v>
      </c>
      <c r="I54" s="5" t="n">
        <v>970234</v>
      </c>
    </row>
    <row r="55" customFormat="false" ht="15" hidden="false" customHeight="false" outlineLevel="0" collapsed="false">
      <c r="A55" s="5" t="s">
        <v>1517</v>
      </c>
      <c r="B55" s="5" t="s">
        <v>1518</v>
      </c>
      <c r="C55" s="5"/>
      <c r="D55" s="5" t="s">
        <v>1679</v>
      </c>
      <c r="E55" s="5" t="s">
        <v>1680</v>
      </c>
      <c r="F55" s="5" t="s">
        <v>1578</v>
      </c>
      <c r="G55" s="5" t="s">
        <v>1579</v>
      </c>
      <c r="H55" s="5" t="n">
        <v>0</v>
      </c>
      <c r="I55" s="5" t="n">
        <v>690084</v>
      </c>
    </row>
    <row r="56" customFormat="false" ht="15" hidden="false" customHeight="false" outlineLevel="0" collapsed="false">
      <c r="A56" s="5" t="s">
        <v>1517</v>
      </c>
      <c r="B56" s="5" t="s">
        <v>1518</v>
      </c>
      <c r="C56" s="5"/>
      <c r="D56" s="5" t="s">
        <v>1681</v>
      </c>
      <c r="E56" s="5" t="s">
        <v>1682</v>
      </c>
      <c r="F56" s="5" t="s">
        <v>1578</v>
      </c>
      <c r="G56" s="5" t="s">
        <v>1579</v>
      </c>
      <c r="H56" s="5" t="n">
        <v>0</v>
      </c>
      <c r="I56" s="5" t="n">
        <v>690084</v>
      </c>
    </row>
    <row r="57" customFormat="false" ht="15" hidden="false" customHeight="false" outlineLevel="0" collapsed="false">
      <c r="A57" s="5" t="s">
        <v>1517</v>
      </c>
      <c r="B57" s="5" t="s">
        <v>1518</v>
      </c>
      <c r="C57" s="5"/>
      <c r="D57" s="5" t="s">
        <v>1683</v>
      </c>
      <c r="E57" s="5" t="s">
        <v>1684</v>
      </c>
      <c r="F57" s="5" t="s">
        <v>1578</v>
      </c>
      <c r="G57" s="5" t="s">
        <v>1579</v>
      </c>
      <c r="H57" s="5" t="n">
        <v>0</v>
      </c>
      <c r="I57" s="5" t="n">
        <v>280150</v>
      </c>
    </row>
    <row r="58" customFormat="false" ht="15" hidden="false" customHeight="false" outlineLevel="0" collapsed="false">
      <c r="A58" s="5" t="s">
        <v>1517</v>
      </c>
      <c r="B58" s="5" t="s">
        <v>1518</v>
      </c>
      <c r="C58" s="5"/>
      <c r="D58" s="5" t="s">
        <v>1683</v>
      </c>
      <c r="E58" s="5" t="s">
        <v>1684</v>
      </c>
      <c r="F58" s="5" t="s">
        <v>1673</v>
      </c>
      <c r="G58" s="5" t="s">
        <v>1674</v>
      </c>
      <c r="H58" s="5" t="n">
        <v>1</v>
      </c>
      <c r="I58" s="5" t="n">
        <v>290697.648462</v>
      </c>
    </row>
    <row r="59" customFormat="false" ht="15" hidden="false" customHeight="false" outlineLevel="0" collapsed="false">
      <c r="A59" s="5" t="s">
        <v>1517</v>
      </c>
      <c r="B59" s="5" t="s">
        <v>1518</v>
      </c>
      <c r="C59" s="5"/>
      <c r="D59" s="5" t="s">
        <v>1683</v>
      </c>
      <c r="E59" s="5" t="s">
        <v>1684</v>
      </c>
      <c r="F59" s="5" t="s">
        <v>1675</v>
      </c>
      <c r="G59" s="5" t="s">
        <v>1676</v>
      </c>
      <c r="H59" s="5" t="n">
        <v>1</v>
      </c>
      <c r="I59" s="5" t="n">
        <v>306532.93840625</v>
      </c>
    </row>
    <row r="60" customFormat="false" ht="15" hidden="false" customHeight="false" outlineLevel="0" collapsed="false">
      <c r="A60" s="5" t="s">
        <v>1517</v>
      </c>
      <c r="B60" s="5" t="s">
        <v>1518</v>
      </c>
      <c r="C60" s="5"/>
      <c r="D60" s="5" t="s">
        <v>1685</v>
      </c>
      <c r="E60" s="5" t="s">
        <v>1686</v>
      </c>
      <c r="F60" s="5" t="s">
        <v>1578</v>
      </c>
      <c r="G60" s="5" t="s">
        <v>1579</v>
      </c>
      <c r="H60" s="5" t="n">
        <v>0</v>
      </c>
      <c r="I60" s="5" t="n">
        <v>0</v>
      </c>
    </row>
    <row r="61" customFormat="false" ht="15" hidden="false" customHeight="false" outlineLevel="0" collapsed="false">
      <c r="A61" s="5" t="s">
        <v>1517</v>
      </c>
      <c r="B61" s="5" t="s">
        <v>1518</v>
      </c>
      <c r="C61" s="5"/>
      <c r="D61" s="5" t="s">
        <v>1687</v>
      </c>
      <c r="E61" s="5" t="s">
        <v>1688</v>
      </c>
      <c r="F61" s="5" t="s">
        <v>1578</v>
      </c>
      <c r="G61" s="5" t="s">
        <v>1579</v>
      </c>
      <c r="H61" s="5" t="n">
        <v>0</v>
      </c>
      <c r="I61" s="5" t="n">
        <v>119054</v>
      </c>
    </row>
    <row r="62" customFormat="false" ht="15" hidden="false" customHeight="false" outlineLevel="0" collapsed="false">
      <c r="A62" s="5" t="s">
        <v>1517</v>
      </c>
      <c r="B62" s="5" t="s">
        <v>1518</v>
      </c>
      <c r="C62" s="5"/>
      <c r="D62" s="5" t="s">
        <v>1689</v>
      </c>
      <c r="E62" s="5" t="s">
        <v>1690</v>
      </c>
      <c r="F62" s="5" t="s">
        <v>1578</v>
      </c>
      <c r="G62" s="5" t="s">
        <v>1579</v>
      </c>
      <c r="H62" s="5" t="n">
        <v>0</v>
      </c>
      <c r="I62" s="5" t="n">
        <v>125148</v>
      </c>
    </row>
    <row r="63" customFormat="false" ht="15" hidden="false" customHeight="false" outlineLevel="0" collapsed="false">
      <c r="A63" s="5" t="s">
        <v>1517</v>
      </c>
      <c r="B63" s="5" t="s">
        <v>1518</v>
      </c>
      <c r="C63" s="5"/>
      <c r="D63" s="5" t="s">
        <v>1691</v>
      </c>
      <c r="E63" s="5" t="s">
        <v>1692</v>
      </c>
      <c r="F63" s="5" t="s">
        <v>1578</v>
      </c>
      <c r="G63" s="5" t="s">
        <v>1579</v>
      </c>
      <c r="H63" s="5" t="n">
        <v>0</v>
      </c>
      <c r="I63" s="5" t="n">
        <v>62233</v>
      </c>
    </row>
    <row r="64" customFormat="false" ht="15" hidden="false" customHeight="false" outlineLevel="0" collapsed="false">
      <c r="A64" s="5" t="s">
        <v>1517</v>
      </c>
      <c r="B64" s="5" t="s">
        <v>1518</v>
      </c>
      <c r="C64" s="5"/>
      <c r="D64" s="5" t="s">
        <v>1693</v>
      </c>
      <c r="E64" s="5" t="s">
        <v>1694</v>
      </c>
      <c r="F64" s="5" t="s">
        <v>1578</v>
      </c>
      <c r="G64" s="5" t="s">
        <v>1579</v>
      </c>
      <c r="H64" s="5" t="n">
        <v>0</v>
      </c>
      <c r="I64" s="5" t="n">
        <v>62915</v>
      </c>
    </row>
    <row r="65" customFormat="false" ht="15" hidden="false" customHeight="false" outlineLevel="0" collapsed="false">
      <c r="A65" s="5" t="s">
        <v>1517</v>
      </c>
      <c r="B65" s="5" t="s">
        <v>1518</v>
      </c>
      <c r="C65" s="5"/>
      <c r="D65" s="5" t="s">
        <v>1695</v>
      </c>
      <c r="E65" s="5" t="s">
        <v>1696</v>
      </c>
      <c r="F65" s="5" t="s">
        <v>1578</v>
      </c>
      <c r="G65" s="5" t="s">
        <v>1579</v>
      </c>
      <c r="H65" s="5" t="n">
        <v>0</v>
      </c>
      <c r="I65" s="5" t="n">
        <v>-6094</v>
      </c>
    </row>
    <row r="66" customFormat="false" ht="15" hidden="false" customHeight="false" outlineLevel="0" collapsed="false">
      <c r="A66" s="5" t="s">
        <v>1517</v>
      </c>
      <c r="B66" s="5" t="s">
        <v>1518</v>
      </c>
      <c r="C66" s="5"/>
      <c r="D66" s="5" t="s">
        <v>1697</v>
      </c>
      <c r="E66" s="5" t="s">
        <v>1698</v>
      </c>
      <c r="F66" s="5" t="s">
        <v>1578</v>
      </c>
      <c r="G66" s="5" t="s">
        <v>1579</v>
      </c>
      <c r="H66" s="5" t="n">
        <v>0</v>
      </c>
      <c r="I66" s="5" t="n">
        <v>161096</v>
      </c>
    </row>
    <row r="67" customFormat="false" ht="15" hidden="false" customHeight="false" outlineLevel="0" collapsed="false">
      <c r="A67" s="5" t="s">
        <v>1517</v>
      </c>
      <c r="B67" s="5" t="s">
        <v>1518</v>
      </c>
      <c r="C67" s="5"/>
      <c r="D67" s="5" t="s">
        <v>1697</v>
      </c>
      <c r="E67" s="5" t="s">
        <v>1698</v>
      </c>
      <c r="F67" s="5" t="s">
        <v>1673</v>
      </c>
      <c r="G67" s="5" t="s">
        <v>1674</v>
      </c>
      <c r="H67" s="5" t="n">
        <v>1</v>
      </c>
      <c r="I67" s="5" t="n">
        <v>161464.789473684</v>
      </c>
    </row>
    <row r="68" customFormat="false" ht="15" hidden="false" customHeight="false" outlineLevel="0" collapsed="false">
      <c r="A68" s="5" t="s">
        <v>1517</v>
      </c>
      <c r="B68" s="5" t="s">
        <v>1518</v>
      </c>
      <c r="C68" s="5"/>
      <c r="D68" s="5" t="s">
        <v>1697</v>
      </c>
      <c r="E68" s="5" t="s">
        <v>1698</v>
      </c>
      <c r="F68" s="5" t="s">
        <v>1675</v>
      </c>
      <c r="G68" s="5" t="s">
        <v>1676</v>
      </c>
      <c r="H68" s="5" t="n">
        <v>1</v>
      </c>
      <c r="I68" s="5" t="n">
        <v>167960.384615385</v>
      </c>
    </row>
    <row r="69" customFormat="false" ht="15" hidden="false" customHeight="false" outlineLevel="0" collapsed="false">
      <c r="A69" s="5" t="s">
        <v>1517</v>
      </c>
      <c r="B69" s="5" t="s">
        <v>1518</v>
      </c>
      <c r="C69" s="5"/>
      <c r="D69" s="5" t="s">
        <v>1699</v>
      </c>
      <c r="E69" s="5" t="s">
        <v>1700</v>
      </c>
      <c r="F69" s="5" t="s">
        <v>1578</v>
      </c>
      <c r="G69" s="5" t="s">
        <v>1579</v>
      </c>
      <c r="H69" s="5" t="n">
        <v>0</v>
      </c>
      <c r="I69" s="5" t="n">
        <v>-14361</v>
      </c>
    </row>
    <row r="70" customFormat="false" ht="15" hidden="false" customHeight="false" outlineLevel="0" collapsed="false">
      <c r="A70" s="5" t="s">
        <v>1517</v>
      </c>
      <c r="B70" s="5" t="s">
        <v>1518</v>
      </c>
      <c r="C70" s="5"/>
      <c r="D70" s="5" t="s">
        <v>1701</v>
      </c>
      <c r="E70" s="5" t="s">
        <v>1702</v>
      </c>
      <c r="F70" s="5" t="s">
        <v>1578</v>
      </c>
      <c r="G70" s="5" t="s">
        <v>1579</v>
      </c>
      <c r="H70" s="5" t="n">
        <v>0</v>
      </c>
      <c r="I70" s="5" t="n">
        <v>-9300</v>
      </c>
    </row>
    <row r="71" customFormat="false" ht="15" hidden="false" customHeight="false" outlineLevel="0" collapsed="false">
      <c r="A71" s="5" t="s">
        <v>1517</v>
      </c>
      <c r="B71" s="5" t="s">
        <v>1518</v>
      </c>
      <c r="C71" s="5"/>
      <c r="D71" s="5" t="s">
        <v>1703</v>
      </c>
      <c r="E71" s="5" t="s">
        <v>1704</v>
      </c>
      <c r="F71" s="5" t="s">
        <v>1578</v>
      </c>
      <c r="G71" s="5" t="s">
        <v>1579</v>
      </c>
      <c r="H71" s="5" t="n">
        <v>0</v>
      </c>
      <c r="I71" s="5" t="n">
        <v>17539</v>
      </c>
    </row>
    <row r="72" customFormat="false" ht="15" hidden="false" customHeight="false" outlineLevel="0" collapsed="false">
      <c r="A72" s="5" t="s">
        <v>1517</v>
      </c>
      <c r="B72" s="5" t="s">
        <v>1518</v>
      </c>
      <c r="C72" s="5"/>
      <c r="D72" s="5" t="s">
        <v>1705</v>
      </c>
      <c r="E72" s="5" t="s">
        <v>1706</v>
      </c>
      <c r="F72" s="5" t="s">
        <v>1578</v>
      </c>
      <c r="G72" s="5" t="s">
        <v>1579</v>
      </c>
      <c r="H72" s="5" t="n">
        <v>0</v>
      </c>
      <c r="I72" s="5" t="n">
        <v>26839</v>
      </c>
    </row>
    <row r="73" customFormat="false" ht="15" hidden="false" customHeight="false" outlineLevel="0" collapsed="false">
      <c r="A73" s="5" t="s">
        <v>1517</v>
      </c>
      <c r="B73" s="5" t="s">
        <v>1518</v>
      </c>
      <c r="C73" s="5"/>
      <c r="D73" s="5" t="s">
        <v>1707</v>
      </c>
      <c r="E73" s="5" t="s">
        <v>1708</v>
      </c>
      <c r="F73" s="5" t="s">
        <v>1578</v>
      </c>
      <c r="G73" s="5" t="s">
        <v>1579</v>
      </c>
      <c r="H73" s="5" t="n">
        <v>0</v>
      </c>
      <c r="I73" s="5" t="n">
        <v>-2</v>
      </c>
    </row>
    <row r="74" customFormat="false" ht="15" hidden="false" customHeight="false" outlineLevel="0" collapsed="false">
      <c r="A74" s="5" t="s">
        <v>1517</v>
      </c>
      <c r="B74" s="5" t="s">
        <v>1518</v>
      </c>
      <c r="C74" s="5"/>
      <c r="D74" s="5" t="s">
        <v>1709</v>
      </c>
      <c r="E74" s="5" t="s">
        <v>1710</v>
      </c>
      <c r="F74" s="5" t="s">
        <v>1578</v>
      </c>
      <c r="G74" s="5" t="s">
        <v>1579</v>
      </c>
      <c r="H74" s="5" t="n">
        <v>0</v>
      </c>
      <c r="I74" s="5" t="n">
        <v>-3981</v>
      </c>
    </row>
    <row r="75" customFormat="false" ht="15" hidden="false" customHeight="false" outlineLevel="0" collapsed="false">
      <c r="A75" s="5" t="s">
        <v>1517</v>
      </c>
      <c r="B75" s="5" t="s">
        <v>1518</v>
      </c>
      <c r="C75" s="5"/>
      <c r="D75" s="5" t="s">
        <v>1711</v>
      </c>
      <c r="E75" s="5" t="s">
        <v>1712</v>
      </c>
      <c r="F75" s="5" t="s">
        <v>1578</v>
      </c>
      <c r="G75" s="5" t="s">
        <v>1579</v>
      </c>
      <c r="H75" s="5" t="n">
        <v>0</v>
      </c>
      <c r="I75" s="5" t="n">
        <v>-136</v>
      </c>
    </row>
    <row r="76" customFormat="false" ht="15" hidden="false" customHeight="false" outlineLevel="0" collapsed="false">
      <c r="A76" s="5" t="s">
        <v>1517</v>
      </c>
      <c r="B76" s="5" t="s">
        <v>1518</v>
      </c>
      <c r="C76" s="5"/>
      <c r="D76" s="5" t="s">
        <v>1713</v>
      </c>
      <c r="E76" s="5" t="s">
        <v>1714</v>
      </c>
      <c r="F76" s="5" t="s">
        <v>1578</v>
      </c>
      <c r="G76" s="5" t="s">
        <v>1579</v>
      </c>
      <c r="H76" s="5" t="n">
        <v>0</v>
      </c>
      <c r="I76" s="5" t="n">
        <v>-942</v>
      </c>
    </row>
    <row r="77" customFormat="false" ht="15" hidden="false" customHeight="false" outlineLevel="0" collapsed="false">
      <c r="A77" s="5" t="s">
        <v>1517</v>
      </c>
      <c r="B77" s="5" t="s">
        <v>1518</v>
      </c>
      <c r="C77" s="5"/>
      <c r="D77" s="5" t="s">
        <v>1715</v>
      </c>
      <c r="E77" s="5" t="s">
        <v>1716</v>
      </c>
      <c r="F77" s="5" t="s">
        <v>1578</v>
      </c>
      <c r="G77" s="5" t="s">
        <v>1579</v>
      </c>
      <c r="H77" s="5" t="n">
        <v>0</v>
      </c>
      <c r="I77" s="5" t="n">
        <v>175457</v>
      </c>
    </row>
    <row r="78" customFormat="false" ht="15" hidden="false" customHeight="false" outlineLevel="0" collapsed="false">
      <c r="A78" s="5" t="s">
        <v>1517</v>
      </c>
      <c r="B78" s="5" t="s">
        <v>1518</v>
      </c>
      <c r="C78" s="5"/>
      <c r="D78" s="5" t="s">
        <v>1715</v>
      </c>
      <c r="E78" s="5" t="s">
        <v>1716</v>
      </c>
      <c r="F78" s="5" t="s">
        <v>1673</v>
      </c>
      <c r="G78" s="5" t="s">
        <v>1674</v>
      </c>
      <c r="H78" s="5" t="n">
        <v>1</v>
      </c>
      <c r="I78" s="5" t="n">
        <v>174583.540540541</v>
      </c>
    </row>
    <row r="79" customFormat="false" ht="15" hidden="false" customHeight="false" outlineLevel="0" collapsed="false">
      <c r="A79" s="5" t="s">
        <v>1517</v>
      </c>
      <c r="B79" s="5" t="s">
        <v>1518</v>
      </c>
      <c r="C79" s="5"/>
      <c r="D79" s="5" t="s">
        <v>1715</v>
      </c>
      <c r="E79" s="5" t="s">
        <v>1716</v>
      </c>
      <c r="F79" s="5" t="s">
        <v>1675</v>
      </c>
      <c r="G79" s="5" t="s">
        <v>1676</v>
      </c>
      <c r="H79" s="5" t="n">
        <v>1</v>
      </c>
      <c r="I79" s="5" t="n">
        <v>180542.027027027</v>
      </c>
    </row>
    <row r="80" customFormat="false" ht="15" hidden="false" customHeight="false" outlineLevel="0" collapsed="false">
      <c r="A80" s="5" t="s">
        <v>1517</v>
      </c>
      <c r="B80" s="5" t="s">
        <v>1518</v>
      </c>
      <c r="C80" s="5"/>
      <c r="D80" s="5" t="s">
        <v>1717</v>
      </c>
      <c r="E80" s="5" t="s">
        <v>1718</v>
      </c>
      <c r="F80" s="5" t="s">
        <v>1578</v>
      </c>
      <c r="G80" s="5" t="s">
        <v>1579</v>
      </c>
      <c r="H80" s="5" t="n">
        <v>0</v>
      </c>
      <c r="I80" s="5" t="n">
        <v>2050</v>
      </c>
    </row>
    <row r="81" customFormat="false" ht="15" hidden="false" customHeight="false" outlineLevel="0" collapsed="false">
      <c r="A81" s="5" t="s">
        <v>1517</v>
      </c>
      <c r="B81" s="5" t="s">
        <v>1518</v>
      </c>
      <c r="C81" s="5"/>
      <c r="D81" s="5" t="s">
        <v>1719</v>
      </c>
      <c r="E81" s="5" t="s">
        <v>1720</v>
      </c>
      <c r="F81" s="5" t="s">
        <v>1578</v>
      </c>
      <c r="G81" s="5" t="s">
        <v>1579</v>
      </c>
      <c r="H81" s="5" t="n">
        <v>0</v>
      </c>
      <c r="I81" s="5" t="n">
        <v>-132</v>
      </c>
    </row>
    <row r="82" customFormat="false" ht="15" hidden="false" customHeight="false" outlineLevel="0" collapsed="false">
      <c r="A82" s="5" t="s">
        <v>1517</v>
      </c>
      <c r="B82" s="5" t="s">
        <v>1518</v>
      </c>
      <c r="C82" s="5"/>
      <c r="D82" s="5" t="s">
        <v>1721</v>
      </c>
      <c r="E82" s="5" t="s">
        <v>1722</v>
      </c>
      <c r="F82" s="5" t="s">
        <v>1578</v>
      </c>
      <c r="G82" s="5" t="s">
        <v>1579</v>
      </c>
      <c r="H82" s="5" t="n">
        <v>0</v>
      </c>
      <c r="I82" s="5" t="n">
        <v>-4044</v>
      </c>
    </row>
    <row r="83" customFormat="false" ht="15" hidden="false" customHeight="false" outlineLevel="0" collapsed="false">
      <c r="A83" s="5" t="s">
        <v>1517</v>
      </c>
      <c r="B83" s="5" t="s">
        <v>1518</v>
      </c>
      <c r="C83" s="5"/>
      <c r="D83" s="5" t="s">
        <v>1723</v>
      </c>
      <c r="E83" s="5" t="s">
        <v>1716</v>
      </c>
      <c r="F83" s="5" t="s">
        <v>1578</v>
      </c>
      <c r="G83" s="5" t="s">
        <v>1579</v>
      </c>
      <c r="H83" s="5" t="n">
        <v>0</v>
      </c>
      <c r="I83" s="5" t="n">
        <v>173407</v>
      </c>
    </row>
    <row r="84" customFormat="false" ht="15" hidden="false" customHeight="false" outlineLevel="0" collapsed="false">
      <c r="A84" s="5" t="s">
        <v>1517</v>
      </c>
      <c r="B84" s="5" t="s">
        <v>1518</v>
      </c>
      <c r="C84" s="5"/>
      <c r="D84" s="5" t="s">
        <v>1723</v>
      </c>
      <c r="E84" s="5" t="s">
        <v>1716</v>
      </c>
      <c r="F84" s="5" t="s">
        <v>1673</v>
      </c>
      <c r="G84" s="5" t="s">
        <v>1674</v>
      </c>
      <c r="H84" s="5" t="n">
        <v>1</v>
      </c>
      <c r="I84" s="5" t="n">
        <v>174583.540540541</v>
      </c>
    </row>
    <row r="85" customFormat="false" ht="15" hidden="false" customHeight="false" outlineLevel="0" collapsed="false">
      <c r="A85" s="5" t="s">
        <v>1517</v>
      </c>
      <c r="B85" s="5" t="s">
        <v>1518</v>
      </c>
      <c r="C85" s="5"/>
      <c r="D85" s="5" t="s">
        <v>1723</v>
      </c>
      <c r="E85" s="5" t="s">
        <v>1716</v>
      </c>
      <c r="F85" s="5" t="s">
        <v>1675</v>
      </c>
      <c r="G85" s="5" t="s">
        <v>1676</v>
      </c>
      <c r="H85" s="5" t="n">
        <v>1</v>
      </c>
      <c r="I85" s="5" t="n">
        <v>180542.027027027</v>
      </c>
    </row>
    <row r="86" customFormat="false" ht="15" hidden="false" customHeight="false" outlineLevel="0" collapsed="false">
      <c r="A86" s="5" t="s">
        <v>1517</v>
      </c>
      <c r="B86" s="5" t="s">
        <v>1518</v>
      </c>
      <c r="C86" s="5"/>
      <c r="D86" s="5" t="s">
        <v>1724</v>
      </c>
      <c r="E86" s="5" t="s">
        <v>1725</v>
      </c>
      <c r="F86" s="5" t="s">
        <v>1578</v>
      </c>
      <c r="G86" s="5" t="s">
        <v>1579</v>
      </c>
      <c r="H86" s="5" t="n">
        <v>0</v>
      </c>
      <c r="I86" s="5" t="n">
        <v>41181</v>
      </c>
    </row>
    <row r="87" customFormat="false" ht="15" hidden="false" customHeight="false" outlineLevel="0" collapsed="false">
      <c r="A87" s="5" t="s">
        <v>1517</v>
      </c>
      <c r="B87" s="5" t="s">
        <v>1518</v>
      </c>
      <c r="C87" s="5"/>
      <c r="D87" s="5" t="s">
        <v>1726</v>
      </c>
      <c r="E87" s="5" t="s">
        <v>1727</v>
      </c>
      <c r="F87" s="5" t="s">
        <v>1578</v>
      </c>
      <c r="G87" s="5" t="s">
        <v>1579</v>
      </c>
      <c r="H87" s="5" t="n">
        <v>0</v>
      </c>
      <c r="I87" s="5" t="n">
        <v>43704</v>
      </c>
    </row>
    <row r="88" customFormat="false" ht="15" hidden="false" customHeight="false" outlineLevel="0" collapsed="false">
      <c r="A88" s="5" t="s">
        <v>1517</v>
      </c>
      <c r="B88" s="5" t="s">
        <v>1518</v>
      </c>
      <c r="C88" s="5"/>
      <c r="D88" s="5" t="s">
        <v>1728</v>
      </c>
      <c r="E88" s="5" t="s">
        <v>1729</v>
      </c>
      <c r="F88" s="5" t="s">
        <v>1578</v>
      </c>
      <c r="G88" s="5" t="s">
        <v>1579</v>
      </c>
      <c r="H88" s="5" t="n">
        <v>0</v>
      </c>
      <c r="I88" s="5" t="n">
        <v>-2523</v>
      </c>
    </row>
    <row r="89" customFormat="false" ht="15" hidden="false" customHeight="false" outlineLevel="0" collapsed="false">
      <c r="A89" s="5" t="s">
        <v>1517</v>
      </c>
      <c r="B89" s="5" t="s">
        <v>1518</v>
      </c>
      <c r="C89" s="5"/>
      <c r="D89" s="5" t="s">
        <v>1730</v>
      </c>
      <c r="E89" s="5" t="s">
        <v>1731</v>
      </c>
      <c r="F89" s="5" t="s">
        <v>1578</v>
      </c>
      <c r="G89" s="5" t="s">
        <v>1579</v>
      </c>
      <c r="H89" s="5" t="n">
        <v>0</v>
      </c>
      <c r="I89" s="5" t="n">
        <v>132226</v>
      </c>
    </row>
    <row r="90" customFormat="false" ht="15" hidden="false" customHeight="false" outlineLevel="0" collapsed="false">
      <c r="A90" s="5" t="s">
        <v>1517</v>
      </c>
      <c r="B90" s="5" t="s">
        <v>1518</v>
      </c>
      <c r="C90" s="5"/>
      <c r="D90" s="5" t="s">
        <v>1730</v>
      </c>
      <c r="E90" s="5" t="s">
        <v>1731</v>
      </c>
      <c r="F90" s="5" t="s">
        <v>1673</v>
      </c>
      <c r="G90" s="5" t="s">
        <v>1674</v>
      </c>
      <c r="H90" s="5" t="n">
        <v>1</v>
      </c>
      <c r="I90" s="5" t="n">
        <v>133287.58974359</v>
      </c>
    </row>
    <row r="91" customFormat="false" ht="15" hidden="false" customHeight="false" outlineLevel="0" collapsed="false">
      <c r="A91" s="5" t="s">
        <v>1517</v>
      </c>
      <c r="B91" s="5" t="s">
        <v>1518</v>
      </c>
      <c r="C91" s="5"/>
      <c r="D91" s="5" t="s">
        <v>1730</v>
      </c>
      <c r="E91" s="5" t="s">
        <v>1731</v>
      </c>
      <c r="F91" s="5" t="s">
        <v>1675</v>
      </c>
      <c r="G91" s="5" t="s">
        <v>1676</v>
      </c>
      <c r="H91" s="5" t="n">
        <v>1</v>
      </c>
      <c r="I91" s="5" t="n">
        <v>136856.461538462</v>
      </c>
    </row>
    <row r="92" customFormat="false" ht="15" hidden="false" customHeight="false" outlineLevel="0" collapsed="false">
      <c r="A92" s="5" t="s">
        <v>1517</v>
      </c>
      <c r="B92" s="5" t="s">
        <v>1518</v>
      </c>
      <c r="C92" s="5"/>
      <c r="D92" s="5" t="s">
        <v>1732</v>
      </c>
      <c r="E92" s="5" t="s">
        <v>1733</v>
      </c>
      <c r="F92" s="5" t="s">
        <v>1578</v>
      </c>
      <c r="G92" s="5" t="s">
        <v>1579</v>
      </c>
      <c r="H92" s="5" t="n">
        <v>0</v>
      </c>
      <c r="I92" s="5" t="n">
        <v>0</v>
      </c>
    </row>
    <row r="93" customFormat="false" ht="15" hidden="false" customHeight="false" outlineLevel="0" collapsed="false">
      <c r="A93" s="5" t="s">
        <v>1517</v>
      </c>
      <c r="B93" s="5" t="s">
        <v>1518</v>
      </c>
      <c r="C93" s="5"/>
      <c r="D93" s="5" t="s">
        <v>1734</v>
      </c>
      <c r="E93" s="5" t="s">
        <v>1735</v>
      </c>
      <c r="F93" s="5" t="s">
        <v>1578</v>
      </c>
      <c r="G93" s="5" t="s">
        <v>1579</v>
      </c>
      <c r="H93" s="5" t="n">
        <v>0</v>
      </c>
      <c r="I93" s="5" t="n">
        <v>0</v>
      </c>
    </row>
    <row r="94" customFormat="false" ht="15" hidden="false" customHeight="false" outlineLevel="0" collapsed="false">
      <c r="A94" s="5" t="s">
        <v>1517</v>
      </c>
      <c r="B94" s="5" t="s">
        <v>1518</v>
      </c>
      <c r="C94" s="5"/>
      <c r="D94" s="5" t="s">
        <v>1736</v>
      </c>
      <c r="E94" s="5" t="s">
        <v>1737</v>
      </c>
      <c r="F94" s="5" t="s">
        <v>1578</v>
      </c>
      <c r="G94" s="5" t="s">
        <v>1579</v>
      </c>
      <c r="H94" s="5" t="n">
        <v>0</v>
      </c>
      <c r="I94" s="5" t="n">
        <v>0</v>
      </c>
    </row>
    <row r="95" customFormat="false" ht="15" hidden="false" customHeight="false" outlineLevel="0" collapsed="false">
      <c r="A95" s="5" t="s">
        <v>1517</v>
      </c>
      <c r="B95" s="5" t="s">
        <v>1518</v>
      </c>
      <c r="C95" s="5"/>
      <c r="D95" s="5" t="s">
        <v>1738</v>
      </c>
      <c r="E95" s="5" t="s">
        <v>1739</v>
      </c>
      <c r="F95" s="5" t="s">
        <v>1578</v>
      </c>
      <c r="G95" s="5" t="s">
        <v>1579</v>
      </c>
      <c r="H95" s="5" t="n">
        <v>0</v>
      </c>
      <c r="I95" s="5" t="n">
        <v>132226</v>
      </c>
    </row>
    <row r="96" customFormat="false" ht="15" hidden="false" customHeight="false" outlineLevel="0" collapsed="false">
      <c r="A96" s="5" t="s">
        <v>1517</v>
      </c>
      <c r="B96" s="5" t="s">
        <v>1518</v>
      </c>
      <c r="C96" s="5"/>
      <c r="D96" s="5" t="s">
        <v>1740</v>
      </c>
      <c r="E96" s="5" t="s">
        <v>1741</v>
      </c>
      <c r="F96" s="5" t="s">
        <v>1578</v>
      </c>
      <c r="G96" s="5" t="s">
        <v>1579</v>
      </c>
      <c r="H96" s="5" t="n">
        <v>0</v>
      </c>
      <c r="I96" s="5" t="n">
        <v>492</v>
      </c>
    </row>
    <row r="97" customFormat="false" ht="15" hidden="false" customHeight="false" outlineLevel="0" collapsed="false">
      <c r="A97" s="5" t="s">
        <v>1517</v>
      </c>
      <c r="B97" s="5" t="s">
        <v>1518</v>
      </c>
      <c r="C97" s="5"/>
      <c r="D97" s="5" t="s">
        <v>1742</v>
      </c>
      <c r="E97" s="5" t="s">
        <v>1743</v>
      </c>
      <c r="F97" s="5" t="s">
        <v>1578</v>
      </c>
      <c r="G97" s="5" t="s">
        <v>1579</v>
      </c>
      <c r="H97" s="5" t="n">
        <v>0</v>
      </c>
      <c r="I97" s="5" t="n">
        <v>131734</v>
      </c>
    </row>
    <row r="98" customFormat="false" ht="15" hidden="false" customHeight="false" outlineLevel="0" collapsed="false">
      <c r="A98" s="5" t="s">
        <v>1517</v>
      </c>
      <c r="B98" s="5" t="s">
        <v>1518</v>
      </c>
      <c r="C98" s="5"/>
      <c r="D98" s="5" t="s">
        <v>1742</v>
      </c>
      <c r="E98" s="5" t="s">
        <v>1743</v>
      </c>
      <c r="F98" s="5" t="s">
        <v>1673</v>
      </c>
      <c r="G98" s="5" t="s">
        <v>1674</v>
      </c>
      <c r="H98" s="5" t="n">
        <v>1</v>
      </c>
      <c r="I98" s="5" t="n">
        <v>133287.58974359</v>
      </c>
    </row>
    <row r="99" customFormat="false" ht="15" hidden="false" customHeight="false" outlineLevel="0" collapsed="false">
      <c r="A99" s="5" t="s">
        <v>1517</v>
      </c>
      <c r="B99" s="5" t="s">
        <v>1518</v>
      </c>
      <c r="C99" s="5"/>
      <c r="D99" s="5" t="s">
        <v>1742</v>
      </c>
      <c r="E99" s="5" t="s">
        <v>1743</v>
      </c>
      <c r="F99" s="5" t="s">
        <v>1675</v>
      </c>
      <c r="G99" s="5" t="s">
        <v>1676</v>
      </c>
      <c r="H99" s="5" t="n">
        <v>1</v>
      </c>
      <c r="I99" s="5" t="n">
        <v>136856.461538462</v>
      </c>
    </row>
    <row r="100" customFormat="false" ht="15" hidden="false" customHeight="false" outlineLevel="0" collapsed="false">
      <c r="A100" s="5" t="s">
        <v>1517</v>
      </c>
      <c r="B100" s="5" t="s">
        <v>1518</v>
      </c>
      <c r="C100" s="5"/>
      <c r="D100" s="5" t="s">
        <v>1744</v>
      </c>
      <c r="E100" s="5" t="s">
        <v>1745</v>
      </c>
      <c r="F100" s="5" t="s">
        <v>1578</v>
      </c>
      <c r="G100" s="5" t="s">
        <v>1579</v>
      </c>
      <c r="H100" s="5" t="n">
        <v>0</v>
      </c>
      <c r="I100" s="5" t="n">
        <v>0</v>
      </c>
    </row>
    <row r="101" customFormat="false" ht="15" hidden="false" customHeight="false" outlineLevel="0" collapsed="false">
      <c r="A101" s="5" t="s">
        <v>1517</v>
      </c>
      <c r="B101" s="5" t="s">
        <v>1518</v>
      </c>
      <c r="C101" s="5"/>
      <c r="D101" s="5" t="s">
        <v>1746</v>
      </c>
      <c r="E101" s="5" t="s">
        <v>1747</v>
      </c>
      <c r="F101" s="5" t="s">
        <v>1578</v>
      </c>
      <c r="G101" s="5" t="s">
        <v>1579</v>
      </c>
      <c r="H101" s="5" t="n">
        <v>0</v>
      </c>
      <c r="I101" s="5" t="n">
        <v>0</v>
      </c>
    </row>
    <row r="102" customFormat="false" ht="15" hidden="false" customHeight="false" outlineLevel="0" collapsed="false">
      <c r="A102" s="5" t="s">
        <v>1517</v>
      </c>
      <c r="B102" s="5" t="s">
        <v>1518</v>
      </c>
      <c r="C102" s="5"/>
      <c r="D102" s="5" t="s">
        <v>1748</v>
      </c>
      <c r="E102" s="5" t="s">
        <v>1749</v>
      </c>
      <c r="F102" s="5" t="s">
        <v>1578</v>
      </c>
      <c r="G102" s="5" t="s">
        <v>1579</v>
      </c>
      <c r="H102" s="5" t="n">
        <v>0</v>
      </c>
      <c r="I102" s="5" t="n">
        <v>131734</v>
      </c>
    </row>
    <row r="103" customFormat="false" ht="15" hidden="false" customHeight="false" outlineLevel="0" collapsed="false">
      <c r="A103" s="5" t="s">
        <v>1517</v>
      </c>
      <c r="B103" s="5" t="s">
        <v>1518</v>
      </c>
      <c r="C103" s="5"/>
      <c r="D103" s="5" t="s">
        <v>1748</v>
      </c>
      <c r="E103" s="5" t="s">
        <v>1749</v>
      </c>
      <c r="F103" s="5" t="s">
        <v>1673</v>
      </c>
      <c r="G103" s="5" t="s">
        <v>1674</v>
      </c>
      <c r="H103" s="5" t="n">
        <v>1</v>
      </c>
      <c r="I103" s="5" t="n">
        <v>133287.58974359</v>
      </c>
    </row>
    <row r="104" customFormat="false" ht="15" hidden="false" customHeight="false" outlineLevel="0" collapsed="false">
      <c r="A104" s="5" t="s">
        <v>1517</v>
      </c>
      <c r="B104" s="5" t="s">
        <v>1518</v>
      </c>
      <c r="C104" s="5"/>
      <c r="D104" s="5" t="s">
        <v>1748</v>
      </c>
      <c r="E104" s="5" t="s">
        <v>1749</v>
      </c>
      <c r="F104" s="5" t="s">
        <v>1675</v>
      </c>
      <c r="G104" s="5" t="s">
        <v>1676</v>
      </c>
      <c r="H104" s="5" t="n">
        <v>1</v>
      </c>
      <c r="I104" s="5" t="n">
        <v>136856.461538462</v>
      </c>
    </row>
    <row r="105" customFormat="false" ht="15" hidden="false" customHeight="false" outlineLevel="0" collapsed="false">
      <c r="A105" s="5" t="s">
        <v>1517</v>
      </c>
      <c r="B105" s="5" t="s">
        <v>1518</v>
      </c>
      <c r="C105" s="5"/>
      <c r="D105" s="5" t="s">
        <v>1750</v>
      </c>
      <c r="E105" s="5" t="s">
        <v>1749</v>
      </c>
      <c r="F105" s="5" t="s">
        <v>1578</v>
      </c>
      <c r="G105" s="5" t="s">
        <v>1579</v>
      </c>
      <c r="H105" s="5" t="n">
        <v>0</v>
      </c>
      <c r="I105" s="5" t="n">
        <v>133169</v>
      </c>
    </row>
    <row r="106" customFormat="false" ht="15" hidden="false" customHeight="false" outlineLevel="0" collapsed="false">
      <c r="A106" s="5" t="s">
        <v>1517</v>
      </c>
      <c r="B106" s="5" t="s">
        <v>1518</v>
      </c>
      <c r="C106" s="5"/>
      <c r="D106" s="5" t="s">
        <v>1750</v>
      </c>
      <c r="E106" s="5" t="s">
        <v>1749</v>
      </c>
      <c r="F106" s="5" t="s">
        <v>1673</v>
      </c>
      <c r="G106" s="5" t="s">
        <v>1674</v>
      </c>
      <c r="H106" s="5" t="n">
        <v>1</v>
      </c>
      <c r="I106" s="5" t="n">
        <v>133193.15</v>
      </c>
    </row>
    <row r="107" customFormat="false" ht="15" hidden="false" customHeight="false" outlineLevel="0" collapsed="false">
      <c r="A107" s="5" t="s">
        <v>1517</v>
      </c>
      <c r="B107" s="5" t="s">
        <v>1518</v>
      </c>
      <c r="C107" s="5"/>
      <c r="D107" s="5" t="s">
        <v>1750</v>
      </c>
      <c r="E107" s="5" t="s">
        <v>1749</v>
      </c>
      <c r="F107" s="5" t="s">
        <v>1675</v>
      </c>
      <c r="G107" s="5" t="s">
        <v>1676</v>
      </c>
      <c r="H107" s="5" t="n">
        <v>1</v>
      </c>
      <c r="I107" s="5" t="n">
        <v>136686.975</v>
      </c>
    </row>
    <row r="108" customFormat="false" ht="15" hidden="false" customHeight="false" outlineLevel="0" collapsed="false">
      <c r="A108" s="5" t="s">
        <v>1517</v>
      </c>
      <c r="B108" s="5" t="s">
        <v>1518</v>
      </c>
      <c r="C108" s="5"/>
      <c r="D108" s="5" t="s">
        <v>1751</v>
      </c>
      <c r="E108" s="5" t="s">
        <v>1752</v>
      </c>
      <c r="F108" s="5" t="s">
        <v>1578</v>
      </c>
      <c r="G108" s="5" t="s">
        <v>1579</v>
      </c>
      <c r="H108" s="5" t="n">
        <v>0</v>
      </c>
      <c r="I108" s="5" t="n">
        <v>1435</v>
      </c>
    </row>
    <row r="109" customFormat="false" ht="15" hidden="false" customHeight="false" outlineLevel="0" collapsed="false">
      <c r="A109" s="5" t="s">
        <v>1517</v>
      </c>
      <c r="B109" s="5" t="s">
        <v>1518</v>
      </c>
      <c r="C109" s="5"/>
      <c r="D109" s="5" t="s">
        <v>1753</v>
      </c>
      <c r="E109" s="5" t="s">
        <v>1733</v>
      </c>
      <c r="F109" s="5" t="s">
        <v>1578</v>
      </c>
      <c r="G109" s="5" t="s">
        <v>1579</v>
      </c>
      <c r="H109" s="5" t="n">
        <v>0</v>
      </c>
      <c r="I109" s="5" t="n">
        <v>0</v>
      </c>
    </row>
    <row r="110" customFormat="false" ht="15" hidden="false" customHeight="false" outlineLevel="0" collapsed="false">
      <c r="A110" s="5" t="s">
        <v>1517</v>
      </c>
      <c r="B110" s="5" t="s">
        <v>1518</v>
      </c>
      <c r="C110" s="5"/>
      <c r="D110" s="5" t="s">
        <v>1754</v>
      </c>
      <c r="E110" s="5" t="s">
        <v>1755</v>
      </c>
      <c r="F110" s="5" t="s">
        <v>1578</v>
      </c>
      <c r="G110" s="5" t="s">
        <v>1579</v>
      </c>
      <c r="H110" s="5" t="n">
        <v>0</v>
      </c>
      <c r="I110" s="5" t="n">
        <v>9898.117199</v>
      </c>
    </row>
    <row r="111" customFormat="false" ht="15" hidden="false" customHeight="false" outlineLevel="0" collapsed="false">
      <c r="A111" s="5" t="s">
        <v>1517</v>
      </c>
      <c r="B111" s="5" t="s">
        <v>1518</v>
      </c>
      <c r="C111" s="5"/>
      <c r="D111" s="5" t="s">
        <v>1756</v>
      </c>
      <c r="E111" s="5" t="s">
        <v>1757</v>
      </c>
      <c r="F111" s="5" t="s">
        <v>1578</v>
      </c>
      <c r="G111" s="5" t="s">
        <v>1579</v>
      </c>
      <c r="H111" s="5" t="n">
        <v>0</v>
      </c>
      <c r="I111" s="5" t="n">
        <v>12.75</v>
      </c>
    </row>
    <row r="112" customFormat="false" ht="15" hidden="false" customHeight="false" outlineLevel="0" collapsed="false">
      <c r="A112" s="5" t="s">
        <v>1517</v>
      </c>
      <c r="B112" s="5" t="s">
        <v>1518</v>
      </c>
      <c r="C112" s="5"/>
      <c r="D112" s="5" t="s">
        <v>1756</v>
      </c>
      <c r="E112" s="5" t="s">
        <v>1757</v>
      </c>
      <c r="F112" s="5" t="s">
        <v>1673</v>
      </c>
      <c r="G112" s="5" t="s">
        <v>1674</v>
      </c>
      <c r="H112" s="5" t="n">
        <v>1</v>
      </c>
      <c r="I112" s="5" t="n">
        <v>13.2697619047619</v>
      </c>
    </row>
    <row r="113" customFormat="false" ht="15" hidden="false" customHeight="false" outlineLevel="0" collapsed="false">
      <c r="A113" s="5" t="s">
        <v>1517</v>
      </c>
      <c r="B113" s="5" t="s">
        <v>1518</v>
      </c>
      <c r="C113" s="5"/>
      <c r="D113" s="5" t="s">
        <v>1756</v>
      </c>
      <c r="E113" s="5" t="s">
        <v>1757</v>
      </c>
      <c r="F113" s="5" t="s">
        <v>1675</v>
      </c>
      <c r="G113" s="5" t="s">
        <v>1676</v>
      </c>
      <c r="H113" s="5" t="n">
        <v>1</v>
      </c>
      <c r="I113" s="5" t="n">
        <v>13.7471428571429</v>
      </c>
    </row>
    <row r="114" customFormat="false" ht="15" hidden="false" customHeight="false" outlineLevel="0" collapsed="false">
      <c r="A114" s="5" t="s">
        <v>1517</v>
      </c>
      <c r="B114" s="5" t="s">
        <v>1518</v>
      </c>
      <c r="C114" s="5"/>
      <c r="D114" s="5" t="s">
        <v>1758</v>
      </c>
      <c r="E114" s="5" t="s">
        <v>1759</v>
      </c>
      <c r="F114" s="5" t="s">
        <v>1578</v>
      </c>
      <c r="G114" s="5" t="s">
        <v>1579</v>
      </c>
      <c r="H114" s="5" t="n">
        <v>0</v>
      </c>
      <c r="I114" s="5" t="n">
        <v>12.75</v>
      </c>
    </row>
    <row r="115" customFormat="false" ht="15" hidden="false" customHeight="false" outlineLevel="0" collapsed="false">
      <c r="A115" s="5" t="s">
        <v>1517</v>
      </c>
      <c r="B115" s="5" t="s">
        <v>1518</v>
      </c>
      <c r="C115" s="5"/>
      <c r="D115" s="5" t="s">
        <v>1758</v>
      </c>
      <c r="E115" s="5" t="s">
        <v>1759</v>
      </c>
      <c r="F115" s="5" t="s">
        <v>1673</v>
      </c>
      <c r="G115" s="5" t="s">
        <v>1674</v>
      </c>
      <c r="H115" s="5" t="n">
        <v>1</v>
      </c>
      <c r="I115" s="5" t="n">
        <v>13.2697619047619</v>
      </c>
    </row>
    <row r="116" customFormat="false" ht="15" hidden="false" customHeight="false" outlineLevel="0" collapsed="false">
      <c r="A116" s="5" t="s">
        <v>1517</v>
      </c>
      <c r="B116" s="5" t="s">
        <v>1518</v>
      </c>
      <c r="C116" s="5"/>
      <c r="D116" s="5" t="s">
        <v>1758</v>
      </c>
      <c r="E116" s="5" t="s">
        <v>1759</v>
      </c>
      <c r="F116" s="5" t="s">
        <v>1675</v>
      </c>
      <c r="G116" s="5" t="s">
        <v>1676</v>
      </c>
      <c r="H116" s="5" t="n">
        <v>1</v>
      </c>
      <c r="I116" s="5" t="n">
        <v>13.7471428571429</v>
      </c>
    </row>
    <row r="117" customFormat="false" ht="15" hidden="false" customHeight="false" outlineLevel="0" collapsed="false">
      <c r="A117" s="5" t="s">
        <v>1517</v>
      </c>
      <c r="B117" s="5" t="s">
        <v>1518</v>
      </c>
      <c r="C117" s="5"/>
      <c r="D117" s="5" t="s">
        <v>1760</v>
      </c>
      <c r="E117" s="5" t="s">
        <v>1761</v>
      </c>
      <c r="F117" s="5" t="s">
        <v>1578</v>
      </c>
      <c r="G117" s="5" t="s">
        <v>1579</v>
      </c>
      <c r="H117" s="5" t="n">
        <v>0</v>
      </c>
      <c r="I117" s="5" t="n">
        <v>12.890791</v>
      </c>
    </row>
    <row r="118" customFormat="false" ht="15" hidden="false" customHeight="false" outlineLevel="0" collapsed="false">
      <c r="A118" s="5" t="s">
        <v>1517</v>
      </c>
      <c r="B118" s="5" t="s">
        <v>1518</v>
      </c>
      <c r="C118" s="5"/>
      <c r="D118" s="5" t="s">
        <v>1760</v>
      </c>
      <c r="E118" s="5" t="s">
        <v>1761</v>
      </c>
      <c r="F118" s="5" t="s">
        <v>1673</v>
      </c>
      <c r="G118" s="5" t="s">
        <v>1674</v>
      </c>
      <c r="H118" s="5" t="n">
        <v>1</v>
      </c>
      <c r="I118" s="5" t="n">
        <v>13.261</v>
      </c>
    </row>
    <row r="119" customFormat="false" ht="15" hidden="false" customHeight="false" outlineLevel="0" collapsed="false">
      <c r="A119" s="5" t="s">
        <v>1517</v>
      </c>
      <c r="B119" s="5" t="s">
        <v>1518</v>
      </c>
      <c r="C119" s="5"/>
      <c r="D119" s="5" t="s">
        <v>1760</v>
      </c>
      <c r="E119" s="5" t="s">
        <v>1761</v>
      </c>
      <c r="F119" s="5" t="s">
        <v>1675</v>
      </c>
      <c r="G119" s="5" t="s">
        <v>1676</v>
      </c>
      <c r="H119" s="5" t="n">
        <v>1</v>
      </c>
      <c r="I119" s="5" t="n">
        <v>13.733</v>
      </c>
    </row>
    <row r="120" customFormat="false" ht="15" hidden="false" customHeight="false" outlineLevel="0" collapsed="false">
      <c r="A120" s="5" t="s">
        <v>1517</v>
      </c>
      <c r="B120" s="5" t="s">
        <v>1518</v>
      </c>
      <c r="C120" s="5"/>
      <c r="D120" s="5" t="s">
        <v>1762</v>
      </c>
      <c r="E120" s="5" t="s">
        <v>1763</v>
      </c>
      <c r="F120" s="5" t="s">
        <v>1578</v>
      </c>
      <c r="G120" s="5" t="s">
        <v>1579</v>
      </c>
      <c r="H120" s="5" t="n">
        <v>0</v>
      </c>
      <c r="I120" s="5" t="n">
        <v>9911.142842</v>
      </c>
    </row>
    <row r="121" customFormat="false" ht="15" hidden="false" customHeight="false" outlineLevel="0" collapsed="false">
      <c r="A121" s="5" t="s">
        <v>1517</v>
      </c>
      <c r="B121" s="5" t="s">
        <v>1518</v>
      </c>
      <c r="C121" s="5"/>
      <c r="D121" s="5" t="s">
        <v>1764</v>
      </c>
      <c r="E121" s="5" t="s">
        <v>1765</v>
      </c>
      <c r="F121" s="5" t="s">
        <v>1578</v>
      </c>
      <c r="G121" s="5" t="s">
        <v>1579</v>
      </c>
      <c r="H121" s="5" t="n">
        <v>0</v>
      </c>
      <c r="I121" s="5" t="n">
        <v>12.73</v>
      </c>
    </row>
    <row r="122" customFormat="false" ht="15" hidden="false" customHeight="false" outlineLevel="0" collapsed="false">
      <c r="A122" s="5" t="s">
        <v>1517</v>
      </c>
      <c r="B122" s="5" t="s">
        <v>1518</v>
      </c>
      <c r="C122" s="5"/>
      <c r="D122" s="5" t="s">
        <v>1764</v>
      </c>
      <c r="E122" s="5" t="s">
        <v>1765</v>
      </c>
      <c r="F122" s="5" t="s">
        <v>1673</v>
      </c>
      <c r="G122" s="5" t="s">
        <v>1674</v>
      </c>
      <c r="H122" s="5" t="n">
        <v>1</v>
      </c>
      <c r="I122" s="5" t="n">
        <v>13.2697619047619</v>
      </c>
    </row>
    <row r="123" customFormat="false" ht="15" hidden="false" customHeight="false" outlineLevel="0" collapsed="false">
      <c r="A123" s="5" t="s">
        <v>1517</v>
      </c>
      <c r="B123" s="5" t="s">
        <v>1518</v>
      </c>
      <c r="C123" s="5"/>
      <c r="D123" s="5" t="s">
        <v>1764</v>
      </c>
      <c r="E123" s="5" t="s">
        <v>1765</v>
      </c>
      <c r="F123" s="5" t="s">
        <v>1675</v>
      </c>
      <c r="G123" s="5" t="s">
        <v>1676</v>
      </c>
      <c r="H123" s="5" t="n">
        <v>1</v>
      </c>
      <c r="I123" s="5" t="n">
        <v>13.7471428571429</v>
      </c>
    </row>
    <row r="124" customFormat="false" ht="15" hidden="false" customHeight="false" outlineLevel="0" collapsed="false">
      <c r="A124" s="5" t="s">
        <v>1517</v>
      </c>
      <c r="B124" s="5" t="s">
        <v>1518</v>
      </c>
      <c r="C124" s="5"/>
      <c r="D124" s="5" t="s">
        <v>1766</v>
      </c>
      <c r="E124" s="5" t="s">
        <v>1767</v>
      </c>
      <c r="F124" s="5" t="s">
        <v>1578</v>
      </c>
      <c r="G124" s="5" t="s">
        <v>1579</v>
      </c>
      <c r="H124" s="5" t="n">
        <v>0</v>
      </c>
      <c r="I124" s="5" t="n">
        <v>12.73</v>
      </c>
    </row>
    <row r="125" customFormat="false" ht="15" hidden="false" customHeight="false" outlineLevel="0" collapsed="false">
      <c r="A125" s="5" t="s">
        <v>1517</v>
      </c>
      <c r="B125" s="5" t="s">
        <v>1518</v>
      </c>
      <c r="C125" s="5"/>
      <c r="D125" s="5" t="s">
        <v>1766</v>
      </c>
      <c r="E125" s="5" t="s">
        <v>1767</v>
      </c>
      <c r="F125" s="5" t="s">
        <v>1673</v>
      </c>
      <c r="G125" s="5" t="s">
        <v>1674</v>
      </c>
      <c r="H125" s="5" t="n">
        <v>1</v>
      </c>
      <c r="I125" s="5" t="n">
        <v>13.2697619047619</v>
      </c>
    </row>
    <row r="126" customFormat="false" ht="15" hidden="false" customHeight="false" outlineLevel="0" collapsed="false">
      <c r="A126" s="5" t="s">
        <v>1517</v>
      </c>
      <c r="B126" s="5" t="s">
        <v>1518</v>
      </c>
      <c r="C126" s="5"/>
      <c r="D126" s="5" t="s">
        <v>1766</v>
      </c>
      <c r="E126" s="5" t="s">
        <v>1767</v>
      </c>
      <c r="F126" s="5" t="s">
        <v>1675</v>
      </c>
      <c r="G126" s="5" t="s">
        <v>1676</v>
      </c>
      <c r="H126" s="5" t="n">
        <v>1</v>
      </c>
      <c r="I126" s="5" t="n">
        <v>13.7471428571429</v>
      </c>
    </row>
    <row r="127" customFormat="false" ht="15" hidden="false" customHeight="false" outlineLevel="0" collapsed="false">
      <c r="A127" s="5" t="s">
        <v>1517</v>
      </c>
      <c r="B127" s="5" t="s">
        <v>1518</v>
      </c>
      <c r="C127" s="5"/>
      <c r="D127" s="5" t="s">
        <v>1768</v>
      </c>
      <c r="E127" s="5" t="s">
        <v>1769</v>
      </c>
      <c r="F127" s="5" t="s">
        <v>1578</v>
      </c>
      <c r="G127" s="5" t="s">
        <v>1579</v>
      </c>
      <c r="H127" s="5" t="n">
        <v>0</v>
      </c>
      <c r="I127" s="5" t="n">
        <v>12.863417</v>
      </c>
    </row>
    <row r="128" customFormat="false" ht="15" hidden="false" customHeight="false" outlineLevel="0" collapsed="false">
      <c r="A128" s="5" t="s">
        <v>1517</v>
      </c>
      <c r="B128" s="5" t="s">
        <v>1518</v>
      </c>
      <c r="C128" s="5"/>
      <c r="D128" s="5" t="s">
        <v>1768</v>
      </c>
      <c r="E128" s="5" t="s">
        <v>1769</v>
      </c>
      <c r="F128" s="5" t="s">
        <v>1673</v>
      </c>
      <c r="G128" s="5" t="s">
        <v>1674</v>
      </c>
      <c r="H128" s="5" t="n">
        <v>1</v>
      </c>
      <c r="I128" s="5" t="n">
        <v>13.261</v>
      </c>
    </row>
    <row r="129" customFormat="false" ht="15" hidden="false" customHeight="false" outlineLevel="0" collapsed="false">
      <c r="A129" s="5" t="s">
        <v>1517</v>
      </c>
      <c r="B129" s="5" t="s">
        <v>1518</v>
      </c>
      <c r="C129" s="5"/>
      <c r="D129" s="5" t="s">
        <v>1768</v>
      </c>
      <c r="E129" s="5" t="s">
        <v>1769</v>
      </c>
      <c r="F129" s="5" t="s">
        <v>1675</v>
      </c>
      <c r="G129" s="5" t="s">
        <v>1676</v>
      </c>
      <c r="H129" s="5" t="n">
        <v>1</v>
      </c>
      <c r="I129" s="5" t="n">
        <v>13.733</v>
      </c>
    </row>
    <row r="130" customFormat="false" ht="15" hidden="false" customHeight="false" outlineLevel="0" collapsed="false">
      <c r="A130" s="5" t="s">
        <v>1517</v>
      </c>
      <c r="B130" s="5" t="s">
        <v>1518</v>
      </c>
      <c r="C130" s="5" t="s">
        <v>1653</v>
      </c>
      <c r="D130" s="5" t="s">
        <v>1654</v>
      </c>
      <c r="E130" s="5" t="s">
        <v>1654</v>
      </c>
      <c r="F130" s="5" t="s">
        <v>1578</v>
      </c>
      <c r="G130" s="5" t="s">
        <v>1579</v>
      </c>
      <c r="H130" s="5" t="n">
        <v>0</v>
      </c>
      <c r="I130" s="5" t="n">
        <v>193242</v>
      </c>
    </row>
    <row r="131" customFormat="false" ht="15" hidden="false" customHeight="false" outlineLevel="0" collapsed="false">
      <c r="A131" s="5" t="s">
        <v>1517</v>
      </c>
      <c r="B131" s="5" t="s">
        <v>1518</v>
      </c>
      <c r="C131" s="5" t="s">
        <v>1653</v>
      </c>
      <c r="D131" s="5" t="s">
        <v>1654</v>
      </c>
      <c r="E131" s="5" t="s">
        <v>1654</v>
      </c>
      <c r="F131" s="5" t="s">
        <v>1673</v>
      </c>
      <c r="G131" s="5" t="s">
        <v>1674</v>
      </c>
      <c r="H131" s="5" t="n">
        <v>1</v>
      </c>
      <c r="I131" s="5" t="n">
        <v>194071.605263158</v>
      </c>
    </row>
    <row r="132" customFormat="false" ht="15" hidden="false" customHeight="false" outlineLevel="0" collapsed="false">
      <c r="A132" s="5" t="s">
        <v>1517</v>
      </c>
      <c r="B132" s="5" t="s">
        <v>1518</v>
      </c>
      <c r="C132" s="5" t="s">
        <v>1653</v>
      </c>
      <c r="D132" s="5" t="s">
        <v>1654</v>
      </c>
      <c r="E132" s="5" t="s">
        <v>1654</v>
      </c>
      <c r="F132" s="5" t="s">
        <v>1675</v>
      </c>
      <c r="G132" s="5" t="s">
        <v>1676</v>
      </c>
      <c r="H132" s="5" t="n">
        <v>1</v>
      </c>
      <c r="I132" s="5" t="n">
        <v>200107.307692308</v>
      </c>
    </row>
    <row r="133" customFormat="false" ht="15" hidden="false" customHeight="false" outlineLevel="0" collapsed="false">
      <c r="A133" s="5" t="s">
        <v>1517</v>
      </c>
      <c r="B133" s="5" t="s">
        <v>1518</v>
      </c>
      <c r="C133" s="5" t="s">
        <v>1653</v>
      </c>
      <c r="D133" s="5" t="s">
        <v>1770</v>
      </c>
      <c r="E133" s="5" t="s">
        <v>1656</v>
      </c>
      <c r="F133" s="5" t="s">
        <v>1578</v>
      </c>
      <c r="G133" s="5" t="s">
        <v>1579</v>
      </c>
      <c r="H133" s="5" t="n">
        <v>0</v>
      </c>
      <c r="I133" s="5" t="n">
        <v>19.9170509382273</v>
      </c>
    </row>
    <row r="134" customFormat="false" ht="15" hidden="false" customHeight="false" outlineLevel="0" collapsed="false">
      <c r="A134" s="5" t="s">
        <v>1517</v>
      </c>
      <c r="B134" s="5" t="s">
        <v>1518</v>
      </c>
      <c r="C134" s="5" t="s">
        <v>1653</v>
      </c>
      <c r="D134" s="5" t="s">
        <v>1770</v>
      </c>
      <c r="E134" s="5" t="s">
        <v>1656</v>
      </c>
      <c r="F134" s="5" t="s">
        <v>1673</v>
      </c>
      <c r="G134" s="5" t="s">
        <v>1674</v>
      </c>
      <c r="H134" s="5" t="n">
        <v>1</v>
      </c>
      <c r="I134" s="5" t="n">
        <v>19.6055965852782</v>
      </c>
    </row>
    <row r="135" customFormat="false" ht="15" hidden="false" customHeight="false" outlineLevel="0" collapsed="false">
      <c r="A135" s="5" t="s">
        <v>1517</v>
      </c>
      <c r="B135" s="5" t="s">
        <v>1518</v>
      </c>
      <c r="C135" s="5" t="s">
        <v>1653</v>
      </c>
      <c r="D135" s="5" t="s">
        <v>1770</v>
      </c>
      <c r="E135" s="5" t="s">
        <v>1656</v>
      </c>
      <c r="F135" s="5" t="s">
        <v>1675</v>
      </c>
      <c r="G135" s="5" t="s">
        <v>1676</v>
      </c>
      <c r="H135" s="5" t="n">
        <v>1</v>
      </c>
      <c r="I135" s="5" t="n">
        <v>19.6658560898625</v>
      </c>
    </row>
    <row r="136" customFormat="false" ht="15" hidden="false" customHeight="false" outlineLevel="0" collapsed="false">
      <c r="A136" s="5" t="s">
        <v>1517</v>
      </c>
      <c r="B136" s="5" t="s">
        <v>1518</v>
      </c>
      <c r="C136" s="5" t="s">
        <v>1653</v>
      </c>
      <c r="D136" s="5" t="s">
        <v>1771</v>
      </c>
      <c r="E136" s="5" t="s">
        <v>1771</v>
      </c>
      <c r="F136" s="5" t="s">
        <v>1578</v>
      </c>
      <c r="G136" s="5" t="s">
        <v>1579</v>
      </c>
      <c r="H136" s="5" t="n">
        <v>0</v>
      </c>
      <c r="I136" s="5" t="n">
        <v>170835</v>
      </c>
    </row>
    <row r="137" customFormat="false" ht="15" hidden="false" customHeight="false" outlineLevel="0" collapsed="false">
      <c r="A137" s="5" t="s">
        <v>1517</v>
      </c>
      <c r="B137" s="5" t="s">
        <v>1518</v>
      </c>
      <c r="C137" s="5" t="s">
        <v>1653</v>
      </c>
      <c r="D137" s="5" t="s">
        <v>1772</v>
      </c>
      <c r="E137" s="5" t="s">
        <v>1772</v>
      </c>
      <c r="F137" s="5" t="s">
        <v>1578</v>
      </c>
      <c r="G137" s="5" t="s">
        <v>1579</v>
      </c>
      <c r="H137" s="5" t="n">
        <v>0</v>
      </c>
      <c r="I137" s="5" t="n">
        <v>161096</v>
      </c>
    </row>
    <row r="138" customFormat="false" ht="15" hidden="false" customHeight="false" outlineLevel="0" collapsed="false">
      <c r="A138" s="5" t="s">
        <v>1517</v>
      </c>
      <c r="B138" s="5" t="s">
        <v>1518</v>
      </c>
      <c r="C138" s="5" t="s">
        <v>1653</v>
      </c>
      <c r="D138" s="5" t="s">
        <v>1772</v>
      </c>
      <c r="E138" s="5" t="s">
        <v>1772</v>
      </c>
      <c r="F138" s="5" t="s">
        <v>1673</v>
      </c>
      <c r="G138" s="5" t="s">
        <v>1674</v>
      </c>
      <c r="H138" s="5" t="n">
        <v>1</v>
      </c>
      <c r="I138" s="5" t="n">
        <v>161464.789473684</v>
      </c>
    </row>
    <row r="139" customFormat="false" ht="15" hidden="false" customHeight="false" outlineLevel="0" collapsed="false">
      <c r="A139" s="5" t="s">
        <v>1517</v>
      </c>
      <c r="B139" s="5" t="s">
        <v>1518</v>
      </c>
      <c r="C139" s="5" t="s">
        <v>1653</v>
      </c>
      <c r="D139" s="5" t="s">
        <v>1772</v>
      </c>
      <c r="E139" s="5" t="s">
        <v>1772</v>
      </c>
      <c r="F139" s="5" t="s">
        <v>1675</v>
      </c>
      <c r="G139" s="5" t="s">
        <v>1676</v>
      </c>
      <c r="H139" s="5" t="n">
        <v>1</v>
      </c>
      <c r="I139" s="5" t="n">
        <v>167960.384615385</v>
      </c>
    </row>
    <row r="140" customFormat="false" ht="15" hidden="false" customHeight="false" outlineLevel="0" collapsed="false">
      <c r="A140" s="5" t="s">
        <v>1517</v>
      </c>
      <c r="B140" s="5" t="s">
        <v>1518</v>
      </c>
      <c r="C140" s="5" t="s">
        <v>1653</v>
      </c>
      <c r="D140" s="5" t="s">
        <v>1773</v>
      </c>
      <c r="E140" s="5" t="s">
        <v>1774</v>
      </c>
      <c r="F140" s="5" t="s">
        <v>1578</v>
      </c>
      <c r="G140" s="5" t="s">
        <v>1579</v>
      </c>
      <c r="H140" s="5" t="n">
        <v>0</v>
      </c>
      <c r="I140" s="5" t="n">
        <v>28.8744777033169</v>
      </c>
    </row>
    <row r="141" customFormat="false" ht="15" hidden="false" customHeight="false" outlineLevel="0" collapsed="false">
      <c r="A141" s="5" t="s">
        <v>1517</v>
      </c>
      <c r="B141" s="5" t="s">
        <v>1518</v>
      </c>
      <c r="C141" s="5" t="s">
        <v>1653</v>
      </c>
      <c r="D141" s="5" t="s">
        <v>1773</v>
      </c>
      <c r="E141" s="5" t="s">
        <v>1774</v>
      </c>
      <c r="F141" s="5" t="s">
        <v>1673</v>
      </c>
      <c r="G141" s="5" t="s">
        <v>1674</v>
      </c>
      <c r="H141" s="5" t="n">
        <v>1</v>
      </c>
      <c r="I141" s="5" t="n">
        <v>29.367</v>
      </c>
    </row>
    <row r="142" customFormat="false" ht="15" hidden="false" customHeight="false" outlineLevel="0" collapsed="false">
      <c r="A142" s="5" t="s">
        <v>1517</v>
      </c>
      <c r="B142" s="5" t="s">
        <v>1518</v>
      </c>
      <c r="C142" s="5" t="s">
        <v>1653</v>
      </c>
      <c r="D142" s="5" t="s">
        <v>1773</v>
      </c>
      <c r="E142" s="5" t="s">
        <v>1774</v>
      </c>
      <c r="F142" s="5" t="s">
        <v>1675</v>
      </c>
      <c r="G142" s="5" t="s">
        <v>1676</v>
      </c>
      <c r="H142" s="5" t="n">
        <v>1</v>
      </c>
      <c r="I142" s="5" t="n">
        <v>30.125</v>
      </c>
    </row>
    <row r="143" customFormat="false" ht="15" hidden="false" customHeight="false" outlineLevel="0" collapsed="false">
      <c r="A143" s="5" t="s">
        <v>1517</v>
      </c>
      <c r="B143" s="5" t="s">
        <v>1518</v>
      </c>
      <c r="C143" s="5" t="s">
        <v>1653</v>
      </c>
      <c r="D143" s="5" t="s">
        <v>1775</v>
      </c>
      <c r="E143" s="5" t="s">
        <v>1776</v>
      </c>
      <c r="F143" s="5" t="s">
        <v>1578</v>
      </c>
      <c r="G143" s="5" t="s">
        <v>1579</v>
      </c>
      <c r="H143" s="5" t="n">
        <v>0</v>
      </c>
      <c r="I143" s="5" t="n">
        <v>16.6038295916243</v>
      </c>
    </row>
    <row r="144" customFormat="false" ht="15" hidden="false" customHeight="false" outlineLevel="0" collapsed="false">
      <c r="A144" s="5" t="s">
        <v>1517</v>
      </c>
      <c r="B144" s="5" t="s">
        <v>1518</v>
      </c>
      <c r="C144" s="5" t="s">
        <v>1653</v>
      </c>
      <c r="D144" s="5" t="s">
        <v>1775</v>
      </c>
      <c r="E144" s="5" t="s">
        <v>1776</v>
      </c>
      <c r="F144" s="5" t="s">
        <v>1673</v>
      </c>
      <c r="G144" s="5" t="s">
        <v>1674</v>
      </c>
      <c r="H144" s="5" t="n">
        <v>1</v>
      </c>
      <c r="I144" s="5" t="n">
        <v>16.311574873929</v>
      </c>
    </row>
    <row r="145" customFormat="false" ht="15" hidden="false" customHeight="false" outlineLevel="0" collapsed="false">
      <c r="A145" s="5" t="s">
        <v>1517</v>
      </c>
      <c r="B145" s="5" t="s">
        <v>1518</v>
      </c>
      <c r="C145" s="5" t="s">
        <v>1653</v>
      </c>
      <c r="D145" s="5" t="s">
        <v>1775</v>
      </c>
      <c r="E145" s="5" t="s">
        <v>1776</v>
      </c>
      <c r="F145" s="5" t="s">
        <v>1675</v>
      </c>
      <c r="G145" s="5" t="s">
        <v>1676</v>
      </c>
      <c r="H145" s="5" t="n">
        <v>1</v>
      </c>
      <c r="I145" s="5" t="n">
        <v>16.5065673673842</v>
      </c>
    </row>
    <row r="146" customFormat="false" ht="15" hidden="false" customHeight="false" outlineLevel="0" collapsed="false">
      <c r="A146" s="5" t="s">
        <v>1517</v>
      </c>
      <c r="B146" s="5" t="s">
        <v>1518</v>
      </c>
      <c r="C146" s="5" t="s">
        <v>1653</v>
      </c>
      <c r="D146" s="5" t="s">
        <v>1777</v>
      </c>
      <c r="E146" s="5" t="s">
        <v>1778</v>
      </c>
      <c r="F146" s="5" t="s">
        <v>1578</v>
      </c>
      <c r="G146" s="5" t="s">
        <v>1579</v>
      </c>
      <c r="H146" s="5" t="n">
        <v>0</v>
      </c>
      <c r="I146" s="5" t="n">
        <v>13.725451798226</v>
      </c>
    </row>
    <row r="147" customFormat="false" ht="15" hidden="false" customHeight="false" outlineLevel="0" collapsed="false">
      <c r="A147" s="5" t="s">
        <v>1517</v>
      </c>
      <c r="B147" s="5" t="s">
        <v>1518</v>
      </c>
      <c r="C147" s="5" t="s">
        <v>1653</v>
      </c>
      <c r="D147" s="5" t="s">
        <v>1777</v>
      </c>
      <c r="E147" s="5" t="s">
        <v>1778</v>
      </c>
      <c r="F147" s="5" t="s">
        <v>1673</v>
      </c>
      <c r="G147" s="5" t="s">
        <v>1674</v>
      </c>
      <c r="H147" s="5" t="n">
        <v>1</v>
      </c>
      <c r="I147" s="5" t="n">
        <v>13.4555035334636</v>
      </c>
    </row>
    <row r="148" customFormat="false" ht="15" hidden="false" customHeight="false" outlineLevel="0" collapsed="false">
      <c r="A148" s="5" t="s">
        <v>1517</v>
      </c>
      <c r="B148" s="5" t="s">
        <v>1518</v>
      </c>
      <c r="C148" s="5" t="s">
        <v>1653</v>
      </c>
      <c r="D148" s="5" t="s">
        <v>1777</v>
      </c>
      <c r="E148" s="5" t="s">
        <v>1778</v>
      </c>
      <c r="F148" s="5" t="s">
        <v>1675</v>
      </c>
      <c r="G148" s="5" t="s">
        <v>1676</v>
      </c>
      <c r="H148" s="5" t="n">
        <v>1</v>
      </c>
      <c r="I148" s="5" t="n">
        <v>13.4331244899293</v>
      </c>
    </row>
    <row r="149" customFormat="false" ht="15" hidden="false" customHeight="false" outlineLevel="0" collapsed="false">
      <c r="A149" s="5" t="s">
        <v>1517</v>
      </c>
      <c r="B149" s="5" t="s">
        <v>1518</v>
      </c>
      <c r="C149" s="5" t="s">
        <v>1653</v>
      </c>
      <c r="D149" s="5" t="s">
        <v>1779</v>
      </c>
      <c r="E149" s="5" t="s">
        <v>1780</v>
      </c>
      <c r="F149" s="5" t="s">
        <v>1578</v>
      </c>
      <c r="G149" s="5" t="s">
        <v>1579</v>
      </c>
      <c r="H149" s="5" t="n">
        <v>0</v>
      </c>
      <c r="I149" s="5" t="n">
        <v>4028705.48227475</v>
      </c>
    </row>
    <row r="150" customFormat="false" ht="15" hidden="false" customHeight="false" outlineLevel="0" collapsed="false">
      <c r="A150" s="5" t="s">
        <v>1517</v>
      </c>
      <c r="B150" s="5" t="s">
        <v>1518</v>
      </c>
      <c r="C150" s="5" t="s">
        <v>1653</v>
      </c>
      <c r="D150" s="5" t="s">
        <v>1781</v>
      </c>
      <c r="E150" s="5" t="s">
        <v>1782</v>
      </c>
      <c r="F150" s="5" t="s">
        <v>1673</v>
      </c>
      <c r="G150" s="5" t="s">
        <v>1674</v>
      </c>
      <c r="H150" s="5" t="n">
        <v>1</v>
      </c>
      <c r="I150" s="5" t="n">
        <v>8.777</v>
      </c>
    </row>
    <row r="151" customFormat="false" ht="15" hidden="false" customHeight="false" outlineLevel="0" collapsed="false">
      <c r="A151" s="5" t="s">
        <v>1517</v>
      </c>
      <c r="B151" s="5" t="s">
        <v>1518</v>
      </c>
      <c r="C151" s="5" t="s">
        <v>1653</v>
      </c>
      <c r="D151" s="5" t="s">
        <v>1781</v>
      </c>
      <c r="E151" s="5" t="s">
        <v>1782</v>
      </c>
      <c r="F151" s="5" t="s">
        <v>1675</v>
      </c>
      <c r="G151" s="5" t="s">
        <v>1676</v>
      </c>
      <c r="H151" s="5" t="n">
        <v>1</v>
      </c>
      <c r="I151" s="5" t="n">
        <v>10.478</v>
      </c>
    </row>
    <row r="152" customFormat="false" ht="15" hidden="false" customHeight="false" outlineLevel="0" collapsed="false">
      <c r="A152" s="5" t="s">
        <v>1517</v>
      </c>
      <c r="B152" s="5" t="s">
        <v>1518</v>
      </c>
      <c r="C152" s="5" t="s">
        <v>1653</v>
      </c>
      <c r="D152" s="5" t="s">
        <v>1783</v>
      </c>
      <c r="E152" s="5" t="s">
        <v>1784</v>
      </c>
      <c r="F152" s="5" t="s">
        <v>1578</v>
      </c>
      <c r="G152" s="5" t="s">
        <v>1579</v>
      </c>
      <c r="H152" s="5" t="n">
        <v>0</v>
      </c>
      <c r="I152" s="5" t="n">
        <v>581318</v>
      </c>
    </row>
    <row r="153" customFormat="false" ht="15" hidden="false" customHeight="false" outlineLevel="0" collapsed="false">
      <c r="A153" s="5" t="s">
        <v>1517</v>
      </c>
      <c r="B153" s="5" t="s">
        <v>1518</v>
      </c>
      <c r="C153" s="5" t="s">
        <v>1653</v>
      </c>
      <c r="D153" s="5" t="s">
        <v>1785</v>
      </c>
      <c r="E153" s="5" t="s">
        <v>1786</v>
      </c>
      <c r="F153" s="5" t="s">
        <v>1578</v>
      </c>
      <c r="G153" s="5" t="s">
        <v>1579</v>
      </c>
      <c r="H153" s="5" t="n">
        <v>0</v>
      </c>
      <c r="I153" s="5" t="n">
        <v>22407</v>
      </c>
    </row>
    <row r="154" customFormat="false" ht="15" hidden="false" customHeight="false" outlineLevel="0" collapsed="false">
      <c r="A154" s="5" t="s">
        <v>1520</v>
      </c>
      <c r="B154" s="5" t="s">
        <v>1521</v>
      </c>
      <c r="C154" s="5"/>
      <c r="D154" s="5" t="s">
        <v>1787</v>
      </c>
      <c r="E154" s="5" t="s">
        <v>729</v>
      </c>
      <c r="F154" s="5" t="s">
        <v>1578</v>
      </c>
      <c r="G154" s="5" t="s">
        <v>1579</v>
      </c>
      <c r="H154" s="5" t="n">
        <v>0</v>
      </c>
      <c r="I154" s="5" t="n">
        <v>236328</v>
      </c>
    </row>
    <row r="155" customFormat="false" ht="15" hidden="false" customHeight="false" outlineLevel="0" collapsed="false">
      <c r="A155" s="5" t="s">
        <v>1520</v>
      </c>
      <c r="B155" s="5" t="s">
        <v>1521</v>
      </c>
      <c r="C155" s="5"/>
      <c r="D155" s="5" t="s">
        <v>1788</v>
      </c>
      <c r="E155" s="5" t="s">
        <v>1789</v>
      </c>
      <c r="F155" s="5" t="s">
        <v>1578</v>
      </c>
      <c r="G155" s="5" t="s">
        <v>1579</v>
      </c>
      <c r="H155" s="5" t="n">
        <v>0</v>
      </c>
      <c r="I155" s="5" t="n">
        <v>184</v>
      </c>
    </row>
    <row r="156" customFormat="false" ht="15" hidden="false" customHeight="false" outlineLevel="0" collapsed="false">
      <c r="A156" s="5" t="s">
        <v>1520</v>
      </c>
      <c r="B156" s="5" t="s">
        <v>1521</v>
      </c>
      <c r="C156" s="5"/>
      <c r="D156" s="5" t="s">
        <v>1790</v>
      </c>
      <c r="E156" s="5" t="s">
        <v>1791</v>
      </c>
      <c r="F156" s="5" t="s">
        <v>1578</v>
      </c>
      <c r="G156" s="5" t="s">
        <v>1579</v>
      </c>
      <c r="H156" s="5" t="n">
        <v>0</v>
      </c>
      <c r="I156" s="5" t="n">
        <v>9905.245732</v>
      </c>
    </row>
    <row r="157" customFormat="false" ht="15" hidden="false" customHeight="false" outlineLevel="0" collapsed="false">
      <c r="A157" s="5" t="s">
        <v>1520</v>
      </c>
      <c r="B157" s="5" t="s">
        <v>1521</v>
      </c>
      <c r="C157" s="5"/>
      <c r="D157" s="5" t="s">
        <v>1792</v>
      </c>
      <c r="E157" s="5" t="s">
        <v>1793</v>
      </c>
      <c r="F157" s="5" t="s">
        <v>1578</v>
      </c>
      <c r="G157" s="5" t="s">
        <v>1579</v>
      </c>
      <c r="H157" s="5" t="n">
        <v>0</v>
      </c>
      <c r="I157" s="5" t="n">
        <v>1822599.325344</v>
      </c>
    </row>
    <row r="158" customFormat="false" ht="15" hidden="false" customHeight="false" outlineLevel="0" collapsed="false">
      <c r="A158" s="5" t="s">
        <v>1520</v>
      </c>
      <c r="B158" s="5" t="s">
        <v>1521</v>
      </c>
      <c r="C158" s="5"/>
      <c r="D158" s="5" t="s">
        <v>1655</v>
      </c>
      <c r="E158" s="5" t="s">
        <v>1656</v>
      </c>
      <c r="F158" s="5" t="s">
        <v>1673</v>
      </c>
      <c r="G158" s="5" t="s">
        <v>1674</v>
      </c>
      <c r="H158" s="5" t="n">
        <v>1</v>
      </c>
      <c r="I158" s="5" t="n">
        <v>19.6055965852782</v>
      </c>
    </row>
    <row r="159" customFormat="false" ht="15" hidden="false" customHeight="false" outlineLevel="0" collapsed="false">
      <c r="A159" s="5" t="s">
        <v>1520</v>
      </c>
      <c r="B159" s="5" t="s">
        <v>1521</v>
      </c>
      <c r="C159" s="5"/>
      <c r="D159" s="5" t="s">
        <v>1655</v>
      </c>
      <c r="E159" s="5" t="s">
        <v>1656</v>
      </c>
      <c r="F159" s="5" t="s">
        <v>1675</v>
      </c>
      <c r="G159" s="5" t="s">
        <v>1676</v>
      </c>
      <c r="H159" s="5" t="n">
        <v>1</v>
      </c>
      <c r="I159" s="5" t="n">
        <v>19.6658560898625</v>
      </c>
    </row>
    <row r="160" customFormat="false" ht="15" hidden="false" customHeight="false" outlineLevel="0" collapsed="false">
      <c r="A160" s="5" t="s">
        <v>1520</v>
      </c>
      <c r="B160" s="5" t="s">
        <v>1521</v>
      </c>
      <c r="C160" s="5"/>
      <c r="D160" s="5" t="s">
        <v>1794</v>
      </c>
      <c r="E160" s="5" t="s">
        <v>1743</v>
      </c>
      <c r="F160" s="5" t="s">
        <v>1578</v>
      </c>
      <c r="G160" s="5" t="s">
        <v>1579</v>
      </c>
      <c r="H160" s="5" t="n">
        <v>0</v>
      </c>
      <c r="I160" s="5" t="n">
        <v>131734</v>
      </c>
    </row>
    <row r="161" customFormat="false" ht="15" hidden="false" customHeight="false" outlineLevel="0" collapsed="false">
      <c r="A161" s="5" t="s">
        <v>1520</v>
      </c>
      <c r="B161" s="5" t="s">
        <v>1521</v>
      </c>
      <c r="C161" s="5"/>
      <c r="D161" s="5" t="s">
        <v>1794</v>
      </c>
      <c r="E161" s="5" t="s">
        <v>1743</v>
      </c>
      <c r="F161" s="5" t="s">
        <v>1673</v>
      </c>
      <c r="G161" s="5" t="s">
        <v>1674</v>
      </c>
      <c r="H161" s="5" t="n">
        <v>1</v>
      </c>
      <c r="I161" s="5" t="n">
        <v>133287.58974359</v>
      </c>
    </row>
    <row r="162" customFormat="false" ht="15" hidden="false" customHeight="false" outlineLevel="0" collapsed="false">
      <c r="A162" s="5" t="s">
        <v>1520</v>
      </c>
      <c r="B162" s="5" t="s">
        <v>1521</v>
      </c>
      <c r="C162" s="5"/>
      <c r="D162" s="5" t="s">
        <v>1794</v>
      </c>
      <c r="E162" s="5" t="s">
        <v>1743</v>
      </c>
      <c r="F162" s="5" t="s">
        <v>1675</v>
      </c>
      <c r="G162" s="5" t="s">
        <v>1676</v>
      </c>
      <c r="H162" s="5" t="n">
        <v>1</v>
      </c>
      <c r="I162" s="5" t="n">
        <v>136856.461538462</v>
      </c>
    </row>
    <row r="163" customFormat="false" ht="15" hidden="false" customHeight="false" outlineLevel="0" collapsed="false">
      <c r="A163" s="5" t="s">
        <v>1520</v>
      </c>
      <c r="B163" s="5" t="s">
        <v>1521</v>
      </c>
      <c r="C163" s="5"/>
      <c r="D163" s="5" t="s">
        <v>1795</v>
      </c>
      <c r="E163" s="5" t="s">
        <v>1796</v>
      </c>
      <c r="F163" s="5" t="s">
        <v>1578</v>
      </c>
      <c r="G163" s="5" t="s">
        <v>1579</v>
      </c>
      <c r="H163" s="5" t="n">
        <v>0</v>
      </c>
      <c r="I163" s="5" t="n">
        <v>12.75</v>
      </c>
    </row>
    <row r="164" customFormat="false" ht="15" hidden="false" customHeight="false" outlineLevel="0" collapsed="false">
      <c r="A164" s="5" t="s">
        <v>1520</v>
      </c>
      <c r="B164" s="5" t="s">
        <v>1521</v>
      </c>
      <c r="C164" s="5"/>
      <c r="D164" s="5" t="s">
        <v>1795</v>
      </c>
      <c r="E164" s="5" t="s">
        <v>1796</v>
      </c>
      <c r="F164" s="5" t="s">
        <v>1673</v>
      </c>
      <c r="G164" s="5" t="s">
        <v>1674</v>
      </c>
      <c r="H164" s="5" t="n">
        <v>1</v>
      </c>
      <c r="I164" s="5" t="n">
        <v>13.261</v>
      </c>
    </row>
    <row r="165" customFormat="false" ht="15" hidden="false" customHeight="false" outlineLevel="0" collapsed="false">
      <c r="A165" s="5" t="s">
        <v>1520</v>
      </c>
      <c r="B165" s="5" t="s">
        <v>1521</v>
      </c>
      <c r="C165" s="5"/>
      <c r="D165" s="5" t="s">
        <v>1795</v>
      </c>
      <c r="E165" s="5" t="s">
        <v>1796</v>
      </c>
      <c r="F165" s="5" t="s">
        <v>1675</v>
      </c>
      <c r="G165" s="5" t="s">
        <v>1676</v>
      </c>
      <c r="H165" s="5" t="n">
        <v>1</v>
      </c>
      <c r="I165" s="5" t="n">
        <v>13.733</v>
      </c>
    </row>
    <row r="166" customFormat="false" ht="15" hidden="false" customHeight="false" outlineLevel="0" collapsed="false">
      <c r="A166" s="5" t="s">
        <v>1520</v>
      </c>
      <c r="B166" s="5" t="s">
        <v>1521</v>
      </c>
      <c r="C166" s="5"/>
      <c r="D166" s="5" t="s">
        <v>1797</v>
      </c>
      <c r="E166" s="5" t="s">
        <v>1798</v>
      </c>
      <c r="F166" s="5" t="s">
        <v>1578</v>
      </c>
      <c r="G166" s="5" t="s">
        <v>1579</v>
      </c>
      <c r="H166" s="5" t="n">
        <v>0</v>
      </c>
      <c r="I166" s="5" t="n">
        <v>14.4313725490196</v>
      </c>
    </row>
    <row r="167" customFormat="false" ht="15" hidden="false" customHeight="false" outlineLevel="0" collapsed="false">
      <c r="A167" s="5" t="s">
        <v>1520</v>
      </c>
      <c r="B167" s="5" t="s">
        <v>1521</v>
      </c>
      <c r="C167" s="5"/>
      <c r="D167" s="5" t="s">
        <v>1797</v>
      </c>
      <c r="E167" s="5" t="s">
        <v>1798</v>
      </c>
      <c r="F167" s="5" t="s">
        <v>1673</v>
      </c>
      <c r="G167" s="5" t="s">
        <v>1674</v>
      </c>
      <c r="H167" s="5" t="n">
        <v>1</v>
      </c>
      <c r="I167" s="5" t="n">
        <v>13.875273357967</v>
      </c>
    </row>
    <row r="168" customFormat="false" ht="15" hidden="false" customHeight="false" outlineLevel="0" collapsed="false">
      <c r="A168" s="5" t="s">
        <v>1520</v>
      </c>
      <c r="B168" s="5" t="s">
        <v>1521</v>
      </c>
      <c r="C168" s="5"/>
      <c r="D168" s="5" t="s">
        <v>1797</v>
      </c>
      <c r="E168" s="5" t="s">
        <v>1798</v>
      </c>
      <c r="F168" s="5" t="s">
        <v>1675</v>
      </c>
      <c r="G168" s="5" t="s">
        <v>1676</v>
      </c>
      <c r="H168" s="5" t="n">
        <v>1</v>
      </c>
      <c r="I168" s="5" t="n">
        <v>13.3983834559091</v>
      </c>
    </row>
    <row r="169" customFormat="false" ht="15" hidden="false" customHeight="false" outlineLevel="0" collapsed="false">
      <c r="A169" s="5" t="s">
        <v>1520</v>
      </c>
      <c r="B169" s="5" t="s">
        <v>1521</v>
      </c>
      <c r="C169" s="5"/>
      <c r="D169" s="5" t="s">
        <v>1799</v>
      </c>
      <c r="E169" s="5" t="s">
        <v>1800</v>
      </c>
      <c r="F169" s="5" t="s">
        <v>1673</v>
      </c>
      <c r="G169" s="5" t="s">
        <v>1674</v>
      </c>
      <c r="H169" s="5" t="n">
        <v>1</v>
      </c>
      <c r="I169" s="5" t="n">
        <v>66.1865620993892</v>
      </c>
    </row>
    <row r="170" customFormat="false" ht="15" hidden="false" customHeight="false" outlineLevel="0" collapsed="false">
      <c r="A170" s="5" t="s">
        <v>1520</v>
      </c>
      <c r="B170" s="5" t="s">
        <v>1521</v>
      </c>
      <c r="C170" s="5"/>
      <c r="D170" s="5" t="s">
        <v>1799</v>
      </c>
      <c r="E170" s="5" t="s">
        <v>1800</v>
      </c>
      <c r="F170" s="5" t="s">
        <v>1675</v>
      </c>
      <c r="G170" s="5" t="s">
        <v>1676</v>
      </c>
      <c r="H170" s="5" t="n">
        <v>1</v>
      </c>
      <c r="I170" s="5" t="n">
        <v>76.2979683972912</v>
      </c>
    </row>
    <row r="171" customFormat="false" ht="15" hidden="false" customHeight="false" outlineLevel="0" collapsed="false">
      <c r="A171" s="5" t="s">
        <v>1520</v>
      </c>
      <c r="B171" s="5" t="s">
        <v>1521</v>
      </c>
      <c r="C171" s="5"/>
      <c r="D171" s="5" t="s">
        <v>1801</v>
      </c>
      <c r="E171" s="5" t="s">
        <v>1802</v>
      </c>
      <c r="F171" s="5" t="s">
        <v>1578</v>
      </c>
      <c r="G171" s="5" t="s">
        <v>1579</v>
      </c>
      <c r="H171" s="5" t="n">
        <v>0</v>
      </c>
      <c r="I171" s="5" t="n">
        <v>2.17391304347826</v>
      </c>
    </row>
    <row r="172" customFormat="false" ht="15" hidden="false" customHeight="false" outlineLevel="0" collapsed="false">
      <c r="A172" s="5" t="s">
        <v>1520</v>
      </c>
      <c r="B172" s="5" t="s">
        <v>1521</v>
      </c>
      <c r="C172" s="5"/>
      <c r="D172" s="5" t="s">
        <v>1803</v>
      </c>
      <c r="E172" s="5" t="s">
        <v>1804</v>
      </c>
      <c r="F172" s="5" t="s">
        <v>1578</v>
      </c>
      <c r="G172" s="5" t="s">
        <v>1579</v>
      </c>
      <c r="H172" s="5" t="n">
        <v>0</v>
      </c>
      <c r="I172" s="5" t="n">
        <v>108446</v>
      </c>
    </row>
    <row r="173" customFormat="false" ht="15" hidden="false" customHeight="false" outlineLevel="0" collapsed="false">
      <c r="A173" s="5" t="s">
        <v>1520</v>
      </c>
      <c r="B173" s="5" t="s">
        <v>1521</v>
      </c>
      <c r="C173" s="5"/>
      <c r="D173" s="5" t="s">
        <v>1805</v>
      </c>
      <c r="E173" s="5" t="s">
        <v>1806</v>
      </c>
      <c r="F173" s="5" t="s">
        <v>1578</v>
      </c>
      <c r="G173" s="5" t="s">
        <v>1579</v>
      </c>
      <c r="H173" s="5" t="n">
        <v>0</v>
      </c>
      <c r="I173" s="5" t="n">
        <v>1360510</v>
      </c>
    </row>
    <row r="174" customFormat="false" ht="15" hidden="false" customHeight="false" outlineLevel="0" collapsed="false">
      <c r="A174" s="5" t="s">
        <v>1520</v>
      </c>
      <c r="B174" s="5" t="s">
        <v>1521</v>
      </c>
      <c r="C174" s="5"/>
      <c r="D174" s="5" t="s">
        <v>1807</v>
      </c>
      <c r="E174" s="5" t="s">
        <v>1808</v>
      </c>
      <c r="F174" s="5" t="s">
        <v>1578</v>
      </c>
      <c r="G174" s="5" t="s">
        <v>1579</v>
      </c>
      <c r="H174" s="5" t="n">
        <v>0</v>
      </c>
      <c r="I174" s="5" t="n">
        <v>563960</v>
      </c>
    </row>
    <row r="175" customFormat="false" ht="15" hidden="false" customHeight="false" outlineLevel="0" collapsed="false">
      <c r="A175" s="5" t="s">
        <v>1520</v>
      </c>
      <c r="B175" s="5" t="s">
        <v>1521</v>
      </c>
      <c r="C175" s="5"/>
      <c r="D175" s="5" t="s">
        <v>1809</v>
      </c>
      <c r="E175" s="5" t="s">
        <v>1810</v>
      </c>
      <c r="F175" s="5" t="s">
        <v>1578</v>
      </c>
      <c r="G175" s="5" t="s">
        <v>1579</v>
      </c>
      <c r="H175" s="5" t="n">
        <v>0</v>
      </c>
      <c r="I175" s="5" t="n">
        <v>796550</v>
      </c>
    </row>
    <row r="176" customFormat="false" ht="15" hidden="false" customHeight="false" outlineLevel="0" collapsed="false">
      <c r="A176" s="5" t="s">
        <v>1520</v>
      </c>
      <c r="B176" s="5" t="s">
        <v>1521</v>
      </c>
      <c r="C176" s="5"/>
      <c r="D176" s="5" t="s">
        <v>1811</v>
      </c>
      <c r="E176" s="5" t="s">
        <v>1812</v>
      </c>
      <c r="F176" s="5" t="s">
        <v>1578</v>
      </c>
      <c r="G176" s="5" t="s">
        <v>1579</v>
      </c>
      <c r="H176" s="5" t="n">
        <v>0</v>
      </c>
      <c r="I176" s="5" t="n">
        <v>80.24323893674</v>
      </c>
    </row>
    <row r="177" customFormat="false" ht="15" hidden="false" customHeight="false" outlineLevel="0" collapsed="false">
      <c r="A177" s="5" t="s">
        <v>1520</v>
      </c>
      <c r="B177" s="5" t="s">
        <v>1521</v>
      </c>
      <c r="C177" s="5"/>
      <c r="D177" s="5" t="s">
        <v>1811</v>
      </c>
      <c r="E177" s="5" t="s">
        <v>1812</v>
      </c>
      <c r="F177" s="5" t="s">
        <v>1673</v>
      </c>
      <c r="G177" s="5" t="s">
        <v>1674</v>
      </c>
      <c r="H177" s="5" t="n">
        <v>1</v>
      </c>
      <c r="I177" s="5" t="n">
        <v>82.3627272727272</v>
      </c>
    </row>
    <row r="178" customFormat="false" ht="15" hidden="false" customHeight="false" outlineLevel="0" collapsed="false">
      <c r="A178" s="5" t="s">
        <v>1520</v>
      </c>
      <c r="B178" s="5" t="s">
        <v>1521</v>
      </c>
      <c r="C178" s="5"/>
      <c r="D178" s="5" t="s">
        <v>1811</v>
      </c>
      <c r="E178" s="5" t="s">
        <v>1812</v>
      </c>
      <c r="F178" s="5" t="s">
        <v>1675</v>
      </c>
      <c r="G178" s="5" t="s">
        <v>1676</v>
      </c>
      <c r="H178" s="5" t="n">
        <v>1</v>
      </c>
      <c r="I178" s="5" t="n">
        <v>85.2930303030303</v>
      </c>
    </row>
    <row r="179" customFormat="false" ht="15" hidden="false" customHeight="false" outlineLevel="0" collapsed="false">
      <c r="A179" s="5" t="s">
        <v>1520</v>
      </c>
      <c r="B179" s="5" t="s">
        <v>1521</v>
      </c>
      <c r="C179" s="5"/>
      <c r="D179" s="5" t="s">
        <v>1813</v>
      </c>
      <c r="E179" s="5" t="s">
        <v>1814</v>
      </c>
      <c r="F179" s="5" t="s">
        <v>1578</v>
      </c>
      <c r="G179" s="5" t="s">
        <v>1579</v>
      </c>
      <c r="H179" s="5" t="n">
        <v>0</v>
      </c>
      <c r="I179" s="5" t="n">
        <v>2.29302807860307</v>
      </c>
    </row>
    <row r="180" customFormat="false" ht="15" hidden="false" customHeight="false" outlineLevel="0" collapsed="false">
      <c r="A180" s="5" t="s">
        <v>1520</v>
      </c>
      <c r="B180" s="5" t="s">
        <v>1521</v>
      </c>
      <c r="C180" s="5"/>
      <c r="D180" s="5" t="s">
        <v>1813</v>
      </c>
      <c r="E180" s="5" t="s">
        <v>1814</v>
      </c>
      <c r="F180" s="5" t="s">
        <v>1673</v>
      </c>
      <c r="G180" s="5" t="s">
        <v>1674</v>
      </c>
      <c r="H180" s="5" t="n">
        <v>1</v>
      </c>
      <c r="I180" s="5" t="n">
        <v>2.23401284557386</v>
      </c>
    </row>
    <row r="181" customFormat="false" ht="15" hidden="false" customHeight="false" outlineLevel="0" collapsed="false">
      <c r="A181" s="5" t="s">
        <v>1520</v>
      </c>
      <c r="B181" s="5" t="s">
        <v>1521</v>
      </c>
      <c r="C181" s="5"/>
      <c r="D181" s="5" t="s">
        <v>1813</v>
      </c>
      <c r="E181" s="5" t="s">
        <v>1814</v>
      </c>
      <c r="F181" s="5" t="s">
        <v>1675</v>
      </c>
      <c r="G181" s="5" t="s">
        <v>1676</v>
      </c>
      <c r="H181" s="5" t="n">
        <v>1</v>
      </c>
      <c r="I181" s="5" t="n">
        <v>2.15726964698158</v>
      </c>
    </row>
    <row r="182" customFormat="false" ht="15" hidden="false" customHeight="false" outlineLevel="0" collapsed="false">
      <c r="A182" s="5" t="s">
        <v>1520</v>
      </c>
      <c r="B182" s="5" t="s">
        <v>1521</v>
      </c>
      <c r="C182" s="5"/>
      <c r="D182" s="5" t="s">
        <v>1815</v>
      </c>
      <c r="E182" s="5" t="s">
        <v>1816</v>
      </c>
      <c r="F182" s="5" t="s">
        <v>1578</v>
      </c>
      <c r="G182" s="5" t="s">
        <v>1579</v>
      </c>
      <c r="H182" s="5" t="n">
        <v>0</v>
      </c>
      <c r="I182" s="5" t="n">
        <v>33.9177854936633</v>
      </c>
    </row>
    <row r="183" customFormat="false" ht="15" hidden="false" customHeight="false" outlineLevel="0" collapsed="false">
      <c r="A183" s="5" t="s">
        <v>1520</v>
      </c>
      <c r="B183" s="5" t="s">
        <v>1521</v>
      </c>
      <c r="C183" s="5"/>
      <c r="D183" s="5" t="s">
        <v>1817</v>
      </c>
      <c r="E183" s="5" t="s">
        <v>1818</v>
      </c>
      <c r="F183" s="5" t="s">
        <v>1578</v>
      </c>
      <c r="G183" s="5" t="s">
        <v>1579</v>
      </c>
      <c r="H183" s="5" t="n">
        <v>0</v>
      </c>
      <c r="I183" s="5" t="n">
        <v>4.70845222473145</v>
      </c>
    </row>
    <row r="184" customFormat="false" ht="15" hidden="false" customHeight="false" outlineLevel="0" collapsed="false">
      <c r="A184" s="5" t="s">
        <v>1520</v>
      </c>
      <c r="B184" s="5" t="s">
        <v>1521</v>
      </c>
      <c r="C184" s="5"/>
      <c r="D184" s="5" t="s">
        <v>1819</v>
      </c>
      <c r="E184" s="5" t="s">
        <v>1598</v>
      </c>
      <c r="F184" s="5" t="s">
        <v>1578</v>
      </c>
      <c r="G184" s="5" t="s">
        <v>1579</v>
      </c>
      <c r="H184" s="5" t="n">
        <v>0</v>
      </c>
      <c r="I184" s="5" t="n">
        <v>182540</v>
      </c>
    </row>
    <row r="185" customFormat="false" ht="15" hidden="false" customHeight="false" outlineLevel="0" collapsed="false">
      <c r="A185" s="5" t="s">
        <v>1520</v>
      </c>
      <c r="B185" s="5" t="s">
        <v>1521</v>
      </c>
      <c r="C185" s="5"/>
      <c r="D185" s="5" t="s">
        <v>1820</v>
      </c>
      <c r="E185" s="5" t="s">
        <v>1821</v>
      </c>
      <c r="F185" s="5" t="s">
        <v>1578</v>
      </c>
      <c r="G185" s="5" t="s">
        <v>1579</v>
      </c>
      <c r="H185" s="5" t="n">
        <v>0</v>
      </c>
      <c r="I185" s="5" t="n">
        <v>17.7494302411301</v>
      </c>
    </row>
    <row r="186" customFormat="false" ht="15" hidden="false" customHeight="false" outlineLevel="0" collapsed="false">
      <c r="A186" s="5" t="s">
        <v>1520</v>
      </c>
      <c r="B186" s="5" t="s">
        <v>1521</v>
      </c>
      <c r="C186" s="5"/>
      <c r="D186" s="5" t="s">
        <v>1820</v>
      </c>
      <c r="E186" s="5" t="s">
        <v>1821</v>
      </c>
      <c r="F186" s="5" t="s">
        <v>1673</v>
      </c>
      <c r="G186" s="5" t="s">
        <v>1674</v>
      </c>
      <c r="H186" s="5" t="n">
        <v>1</v>
      </c>
      <c r="I186" s="5" t="n">
        <v>16.275</v>
      </c>
    </row>
    <row r="187" customFormat="false" ht="15" hidden="false" customHeight="false" outlineLevel="0" collapsed="false">
      <c r="A187" s="5" t="s">
        <v>1520</v>
      </c>
      <c r="B187" s="5" t="s">
        <v>1521</v>
      </c>
      <c r="C187" s="5"/>
      <c r="D187" s="5" t="s">
        <v>1820</v>
      </c>
      <c r="E187" s="5" t="s">
        <v>1821</v>
      </c>
      <c r="F187" s="5" t="s">
        <v>1675</v>
      </c>
      <c r="G187" s="5" t="s">
        <v>1676</v>
      </c>
      <c r="H187" s="5" t="n">
        <v>1</v>
      </c>
      <c r="I187" s="5" t="n">
        <v>16.9805882352941</v>
      </c>
    </row>
    <row r="188" customFormat="false" ht="15" hidden="false" customHeight="false" outlineLevel="0" collapsed="false">
      <c r="A188" s="5" t="s">
        <v>1520</v>
      </c>
      <c r="B188" s="5" t="s">
        <v>1521</v>
      </c>
      <c r="C188" s="5"/>
      <c r="D188" s="5" t="s">
        <v>1659</v>
      </c>
      <c r="E188" s="5" t="s">
        <v>1660</v>
      </c>
      <c r="F188" s="5" t="s">
        <v>1673</v>
      </c>
      <c r="G188" s="5" t="s">
        <v>1674</v>
      </c>
      <c r="H188" s="5" t="n">
        <v>1</v>
      </c>
      <c r="I188" s="5" t="n">
        <v>128390.865018554</v>
      </c>
    </row>
    <row r="189" customFormat="false" ht="15" hidden="false" customHeight="false" outlineLevel="0" collapsed="false">
      <c r="A189" s="5" t="s">
        <v>1520</v>
      </c>
      <c r="B189" s="5" t="s">
        <v>1521</v>
      </c>
      <c r="C189" s="5"/>
      <c r="D189" s="5" t="s">
        <v>1659</v>
      </c>
      <c r="E189" s="5" t="s">
        <v>1660</v>
      </c>
      <c r="F189" s="5" t="s">
        <v>1675</v>
      </c>
      <c r="G189" s="5" t="s">
        <v>1676</v>
      </c>
      <c r="H189" s="5" t="n">
        <v>1</v>
      </c>
      <c r="I189" s="5" t="n">
        <v>143429.115185811</v>
      </c>
    </row>
    <row r="190" customFormat="false" ht="15" hidden="false" customHeight="false" outlineLevel="0" collapsed="false">
      <c r="A190" s="5" t="s">
        <v>1537</v>
      </c>
      <c r="B190" s="5" t="s">
        <v>1538</v>
      </c>
      <c r="C190" s="5" t="s">
        <v>1822</v>
      </c>
      <c r="D190" s="5" t="s">
        <v>1823</v>
      </c>
      <c r="E190" s="5" t="s">
        <v>1824</v>
      </c>
      <c r="F190" s="5" t="s">
        <v>1673</v>
      </c>
      <c r="G190" s="5" t="s">
        <v>1674</v>
      </c>
      <c r="H190" s="5" t="n">
        <v>1</v>
      </c>
      <c r="I190" s="5" t="n">
        <v>170500.93369365</v>
      </c>
    </row>
    <row r="191" customFormat="false" ht="15" hidden="false" customHeight="false" outlineLevel="0" collapsed="false">
      <c r="A191" s="5" t="s">
        <v>1537</v>
      </c>
      <c r="B191" s="5" t="s">
        <v>1538</v>
      </c>
      <c r="C191" s="5" t="s">
        <v>1822</v>
      </c>
      <c r="D191" s="5" t="s">
        <v>1823</v>
      </c>
      <c r="E191" s="5" t="s">
        <v>1824</v>
      </c>
      <c r="F191" s="5" t="s">
        <v>1675</v>
      </c>
      <c r="G191" s="5" t="s">
        <v>1676</v>
      </c>
      <c r="H191" s="5" t="n">
        <v>1</v>
      </c>
      <c r="I191" s="5" t="n">
        <v>177897.164672926</v>
      </c>
    </row>
    <row r="192" customFormat="false" ht="15" hidden="false" customHeight="false" outlineLevel="0" collapsed="false">
      <c r="A192" s="5" t="s">
        <v>1537</v>
      </c>
      <c r="B192" s="5" t="s">
        <v>1538</v>
      </c>
      <c r="C192" s="5" t="s">
        <v>1822</v>
      </c>
      <c r="D192" s="5" t="s">
        <v>1659</v>
      </c>
      <c r="E192" s="5" t="s">
        <v>1825</v>
      </c>
      <c r="F192" s="5" t="s">
        <v>1673</v>
      </c>
      <c r="G192" s="5" t="s">
        <v>1674</v>
      </c>
      <c r="H192" s="5" t="n">
        <v>1</v>
      </c>
      <c r="I192" s="5" t="n">
        <v>148630.384</v>
      </c>
    </row>
    <row r="193" customFormat="false" ht="15" hidden="false" customHeight="false" outlineLevel="0" collapsed="false">
      <c r="A193" s="5" t="s">
        <v>1537</v>
      </c>
      <c r="B193" s="5" t="s">
        <v>1538</v>
      </c>
      <c r="C193" s="5" t="s">
        <v>1822</v>
      </c>
      <c r="D193" s="5" t="s">
        <v>1659</v>
      </c>
      <c r="E193" s="5" t="s">
        <v>1825</v>
      </c>
      <c r="F193" s="5" t="s">
        <v>1675</v>
      </c>
      <c r="G193" s="5" t="s">
        <v>1676</v>
      </c>
      <c r="H193" s="5" t="n">
        <v>1</v>
      </c>
      <c r="I193" s="5" t="n">
        <v>157685.265</v>
      </c>
    </row>
    <row r="194" customFormat="false" ht="15" hidden="false" customHeight="false" outlineLevel="0" collapsed="false">
      <c r="A194" s="5" t="s">
        <v>1548</v>
      </c>
      <c r="B194" s="5" t="s">
        <v>1549</v>
      </c>
      <c r="C194" s="5"/>
      <c r="D194" s="5" t="s">
        <v>1792</v>
      </c>
      <c r="E194" s="5" t="s">
        <v>1793</v>
      </c>
      <c r="F194" s="5" t="s">
        <v>1826</v>
      </c>
      <c r="G194" s="5" t="s">
        <v>1579</v>
      </c>
      <c r="H194" s="5" t="n">
        <v>0</v>
      </c>
      <c r="I194" s="5" t="n">
        <v>1824085.1400114</v>
      </c>
    </row>
    <row r="195" customFormat="false" ht="15" hidden="false" customHeight="false" outlineLevel="0" collapsed="false">
      <c r="A195" s="5" t="s">
        <v>1548</v>
      </c>
      <c r="B195" s="5" t="s">
        <v>1549</v>
      </c>
      <c r="C195" s="5"/>
      <c r="D195" s="5" t="s">
        <v>1827</v>
      </c>
      <c r="E195" s="5" t="s">
        <v>1828</v>
      </c>
      <c r="F195" s="5" t="s">
        <v>1826</v>
      </c>
      <c r="G195" s="5" t="s">
        <v>1579</v>
      </c>
      <c r="H195" s="5" t="n">
        <v>0</v>
      </c>
      <c r="I195" s="5" t="n">
        <v>436543</v>
      </c>
    </row>
    <row r="196" customFormat="false" ht="15" hidden="false" customHeight="false" outlineLevel="0" collapsed="false">
      <c r="A196" s="5" t="s">
        <v>1548</v>
      </c>
      <c r="B196" s="5" t="s">
        <v>1549</v>
      </c>
      <c r="C196" s="5"/>
      <c r="D196" s="5" t="s">
        <v>1829</v>
      </c>
      <c r="E196" s="5" t="s">
        <v>1830</v>
      </c>
      <c r="F196" s="5" t="s">
        <v>1826</v>
      </c>
      <c r="G196" s="5" t="s">
        <v>1579</v>
      </c>
      <c r="H196" s="5" t="n">
        <v>0</v>
      </c>
      <c r="I196" s="5" t="n">
        <v>1721</v>
      </c>
    </row>
    <row r="197" customFormat="false" ht="15" hidden="false" customHeight="false" outlineLevel="0" collapsed="false">
      <c r="A197" s="5" t="s">
        <v>1548</v>
      </c>
      <c r="B197" s="5" t="s">
        <v>1549</v>
      </c>
      <c r="C197" s="5"/>
      <c r="D197" s="5" t="s">
        <v>1831</v>
      </c>
      <c r="E197" s="5" t="s">
        <v>1832</v>
      </c>
      <c r="F197" s="5" t="s">
        <v>1826</v>
      </c>
      <c r="G197" s="5" t="s">
        <v>1579</v>
      </c>
      <c r="H197" s="5" t="n">
        <v>0</v>
      </c>
      <c r="I197" s="5" t="n">
        <v>221065</v>
      </c>
    </row>
    <row r="198" customFormat="false" ht="15" hidden="false" customHeight="false" outlineLevel="0" collapsed="false">
      <c r="A198" s="5" t="s">
        <v>1548</v>
      </c>
      <c r="B198" s="5" t="s">
        <v>1549</v>
      </c>
      <c r="C198" s="5"/>
      <c r="D198" s="5" t="s">
        <v>1833</v>
      </c>
      <c r="E198" s="5" t="s">
        <v>1834</v>
      </c>
      <c r="F198" s="5" t="s">
        <v>1826</v>
      </c>
      <c r="G198" s="5" t="s">
        <v>1579</v>
      </c>
      <c r="H198" s="5" t="n">
        <v>0</v>
      </c>
      <c r="I198" s="5" t="n">
        <v>1610328.1400114</v>
      </c>
    </row>
    <row r="199" customFormat="false" ht="15" hidden="false" customHeight="false" outlineLevel="0" collapsed="false">
      <c r="A199" s="5" t="s">
        <v>1548</v>
      </c>
      <c r="B199" s="5" t="s">
        <v>1549</v>
      </c>
      <c r="C199" s="5"/>
      <c r="D199" s="5" t="s">
        <v>1835</v>
      </c>
      <c r="E199" s="5" t="s">
        <v>1672</v>
      </c>
      <c r="F199" s="5" t="s">
        <v>1826</v>
      </c>
      <c r="G199" s="5" t="s">
        <v>1579</v>
      </c>
      <c r="H199" s="5" t="n">
        <v>0</v>
      </c>
      <c r="I199" s="5" t="n">
        <v>970234</v>
      </c>
    </row>
    <row r="200" customFormat="false" ht="15" hidden="false" customHeight="false" outlineLevel="0" collapsed="false">
      <c r="A200" s="5" t="s">
        <v>1548</v>
      </c>
      <c r="B200" s="5" t="s">
        <v>1549</v>
      </c>
      <c r="C200" s="5"/>
      <c r="D200" s="5" t="s">
        <v>1835</v>
      </c>
      <c r="E200" s="5" t="s">
        <v>1672</v>
      </c>
      <c r="F200" s="5" t="s">
        <v>1673</v>
      </c>
      <c r="G200" s="5" t="s">
        <v>1674</v>
      </c>
      <c r="H200" s="5" t="n">
        <v>1</v>
      </c>
      <c r="I200" s="5" t="n">
        <v>989878.6</v>
      </c>
    </row>
    <row r="201" customFormat="false" ht="15" hidden="false" customHeight="false" outlineLevel="0" collapsed="false">
      <c r="A201" s="5" t="s">
        <v>1548</v>
      </c>
      <c r="B201" s="5" t="s">
        <v>1549</v>
      </c>
      <c r="C201" s="5"/>
      <c r="D201" s="5" t="s">
        <v>1835</v>
      </c>
      <c r="E201" s="5" t="s">
        <v>1672</v>
      </c>
      <c r="F201" s="5" t="s">
        <v>1675</v>
      </c>
      <c r="G201" s="5" t="s">
        <v>1676</v>
      </c>
      <c r="H201" s="5" t="n">
        <v>1</v>
      </c>
      <c r="I201" s="5" t="n">
        <v>1017536.725</v>
      </c>
    </row>
    <row r="202" customFormat="false" ht="15" hidden="false" customHeight="false" outlineLevel="0" collapsed="false">
      <c r="A202" s="5" t="s">
        <v>1548</v>
      </c>
      <c r="B202" s="5" t="s">
        <v>1549</v>
      </c>
      <c r="C202" s="5"/>
      <c r="D202" s="5" t="s">
        <v>1836</v>
      </c>
      <c r="E202" s="5" t="s">
        <v>1837</v>
      </c>
      <c r="F202" s="5" t="s">
        <v>1826</v>
      </c>
      <c r="G202" s="5" t="s">
        <v>1579</v>
      </c>
      <c r="H202" s="5" t="n">
        <v>0</v>
      </c>
      <c r="I202" s="5" t="n">
        <v>8.21873651077632</v>
      </c>
    </row>
    <row r="203" customFormat="false" ht="15" hidden="false" customHeight="false" outlineLevel="0" collapsed="false">
      <c r="A203" s="5" t="s">
        <v>1548</v>
      </c>
      <c r="B203" s="5" t="s">
        <v>1549</v>
      </c>
      <c r="C203" s="5"/>
      <c r="D203" s="5" t="s">
        <v>1836</v>
      </c>
      <c r="E203" s="5" t="s">
        <v>1837</v>
      </c>
      <c r="F203" s="5" t="s">
        <v>1673</v>
      </c>
      <c r="G203" s="5" t="s">
        <v>1674</v>
      </c>
      <c r="H203" s="5" t="n">
        <v>1</v>
      </c>
      <c r="I203" s="5" t="n">
        <v>6.87063827949559</v>
      </c>
    </row>
    <row r="204" customFormat="false" ht="15" hidden="false" customHeight="false" outlineLevel="0" collapsed="false">
      <c r="A204" s="5" t="s">
        <v>1548</v>
      </c>
      <c r="B204" s="5" t="s">
        <v>1549</v>
      </c>
      <c r="C204" s="5"/>
      <c r="D204" s="5" t="s">
        <v>1836</v>
      </c>
      <c r="E204" s="5" t="s">
        <v>1837</v>
      </c>
      <c r="F204" s="5" t="s">
        <v>1675</v>
      </c>
      <c r="G204" s="5" t="s">
        <v>1676</v>
      </c>
      <c r="H204" s="5" t="n">
        <v>1</v>
      </c>
      <c r="I204" s="5" t="n">
        <v>2.79409262913654</v>
      </c>
    </row>
    <row r="205" customFormat="false" ht="15" hidden="false" customHeight="false" outlineLevel="0" collapsed="false">
      <c r="A205" s="5" t="s">
        <v>1548</v>
      </c>
      <c r="B205" s="5" t="s">
        <v>1549</v>
      </c>
      <c r="C205" s="5"/>
      <c r="D205" s="5" t="s">
        <v>1838</v>
      </c>
      <c r="E205" s="5" t="s">
        <v>1684</v>
      </c>
      <c r="F205" s="5" t="s">
        <v>1826</v>
      </c>
      <c r="G205" s="5" t="s">
        <v>1579</v>
      </c>
      <c r="H205" s="5" t="n">
        <v>0</v>
      </c>
      <c r="I205" s="5" t="n">
        <v>280150</v>
      </c>
    </row>
    <row r="206" customFormat="false" ht="15" hidden="false" customHeight="false" outlineLevel="0" collapsed="false">
      <c r="A206" s="5" t="s">
        <v>1548</v>
      </c>
      <c r="B206" s="5" t="s">
        <v>1549</v>
      </c>
      <c r="C206" s="5"/>
      <c r="D206" s="5" t="s">
        <v>1838</v>
      </c>
      <c r="E206" s="5" t="s">
        <v>1684</v>
      </c>
      <c r="F206" s="5" t="s">
        <v>1673</v>
      </c>
      <c r="G206" s="5" t="s">
        <v>1674</v>
      </c>
      <c r="H206" s="5" t="n">
        <v>1</v>
      </c>
      <c r="I206" s="5" t="n">
        <v>290697.648462</v>
      </c>
    </row>
    <row r="207" customFormat="false" ht="15" hidden="false" customHeight="false" outlineLevel="0" collapsed="false">
      <c r="A207" s="5" t="s">
        <v>1548</v>
      </c>
      <c r="B207" s="5" t="s">
        <v>1549</v>
      </c>
      <c r="C207" s="5"/>
      <c r="D207" s="5" t="s">
        <v>1838</v>
      </c>
      <c r="E207" s="5" t="s">
        <v>1684</v>
      </c>
      <c r="F207" s="5" t="s">
        <v>1675</v>
      </c>
      <c r="G207" s="5" t="s">
        <v>1676</v>
      </c>
      <c r="H207" s="5" t="n">
        <v>1</v>
      </c>
      <c r="I207" s="5" t="n">
        <v>306532.93840625</v>
      </c>
    </row>
    <row r="208" customFormat="false" ht="15" hidden="false" customHeight="false" outlineLevel="0" collapsed="false">
      <c r="A208" s="5" t="s">
        <v>1548</v>
      </c>
      <c r="B208" s="5" t="s">
        <v>1549</v>
      </c>
      <c r="C208" s="5"/>
      <c r="D208" s="5" t="s">
        <v>1839</v>
      </c>
      <c r="E208" s="5" t="s">
        <v>1684</v>
      </c>
      <c r="F208" s="5" t="s">
        <v>1840</v>
      </c>
      <c r="G208" s="5" t="s">
        <v>1841</v>
      </c>
      <c r="H208" s="5" t="n">
        <v>0</v>
      </c>
      <c r="I208" s="5" t="n">
        <v>28.5378347907026</v>
      </c>
    </row>
    <row r="209" customFormat="false" ht="15" hidden="false" customHeight="false" outlineLevel="0" collapsed="false">
      <c r="A209" s="5" t="s">
        <v>1548</v>
      </c>
      <c r="B209" s="5" t="s">
        <v>1549</v>
      </c>
      <c r="C209" s="5"/>
      <c r="D209" s="5" t="s">
        <v>1839</v>
      </c>
      <c r="E209" s="5" t="s">
        <v>1684</v>
      </c>
      <c r="F209" s="5" t="s">
        <v>1842</v>
      </c>
      <c r="G209" s="5" t="s">
        <v>1843</v>
      </c>
      <c r="H209" s="5" t="n">
        <v>0</v>
      </c>
      <c r="I209" s="5" t="n">
        <v>31.6783171625527</v>
      </c>
    </row>
    <row r="210" customFormat="false" ht="15" hidden="false" customHeight="false" outlineLevel="0" collapsed="false">
      <c r="A210" s="5" t="s">
        <v>1548</v>
      </c>
      <c r="B210" s="5" t="s">
        <v>1549</v>
      </c>
      <c r="C210" s="5"/>
      <c r="D210" s="5" t="s">
        <v>1839</v>
      </c>
      <c r="E210" s="5" t="s">
        <v>1684</v>
      </c>
      <c r="F210" s="5" t="s">
        <v>1844</v>
      </c>
      <c r="G210" s="5" t="s">
        <v>1845</v>
      </c>
      <c r="H210" s="5" t="n">
        <v>0</v>
      </c>
      <c r="I210" s="5" t="n">
        <v>29.7195467636996</v>
      </c>
    </row>
    <row r="211" customFormat="false" ht="15" hidden="false" customHeight="false" outlineLevel="0" collapsed="false">
      <c r="A211" s="5" t="s">
        <v>1548</v>
      </c>
      <c r="B211" s="5" t="s">
        <v>1549</v>
      </c>
      <c r="C211" s="5"/>
      <c r="D211" s="5" t="s">
        <v>1839</v>
      </c>
      <c r="E211" s="5" t="s">
        <v>1684</v>
      </c>
      <c r="F211" s="5" t="s">
        <v>1846</v>
      </c>
      <c r="G211" s="5" t="s">
        <v>1847</v>
      </c>
      <c r="H211" s="5" t="n">
        <v>0</v>
      </c>
      <c r="I211" s="5" t="n">
        <v>28.6702266387881</v>
      </c>
    </row>
    <row r="212" customFormat="false" ht="15" hidden="false" customHeight="false" outlineLevel="0" collapsed="false">
      <c r="A212" s="5" t="s">
        <v>1548</v>
      </c>
      <c r="B212" s="5" t="s">
        <v>1549</v>
      </c>
      <c r="C212" s="5"/>
      <c r="D212" s="5" t="s">
        <v>1839</v>
      </c>
      <c r="E212" s="5" t="s">
        <v>1684</v>
      </c>
      <c r="F212" s="5" t="s">
        <v>1848</v>
      </c>
      <c r="G212" s="5" t="s">
        <v>1849</v>
      </c>
      <c r="H212" s="5" t="n">
        <v>0</v>
      </c>
      <c r="I212" s="5" t="n">
        <v>29.6462912891334</v>
      </c>
    </row>
    <row r="213" customFormat="false" ht="15" hidden="false" customHeight="false" outlineLevel="0" collapsed="false">
      <c r="A213" s="5" t="s">
        <v>1548</v>
      </c>
      <c r="B213" s="5" t="s">
        <v>1549</v>
      </c>
      <c r="C213" s="5"/>
      <c r="D213" s="5" t="s">
        <v>1839</v>
      </c>
      <c r="E213" s="5" t="s">
        <v>1684</v>
      </c>
      <c r="F213" s="5" t="s">
        <v>1850</v>
      </c>
      <c r="G213" s="5" t="s">
        <v>1851</v>
      </c>
      <c r="H213" s="5" t="n">
        <v>0</v>
      </c>
      <c r="I213" s="5" t="n">
        <v>30.6529245109352</v>
      </c>
    </row>
    <row r="214" customFormat="false" ht="15" hidden="false" customHeight="false" outlineLevel="0" collapsed="false">
      <c r="A214" s="5" t="s">
        <v>1548</v>
      </c>
      <c r="B214" s="5" t="s">
        <v>1549</v>
      </c>
      <c r="C214" s="5"/>
      <c r="D214" s="5" t="s">
        <v>1839</v>
      </c>
      <c r="E214" s="5" t="s">
        <v>1684</v>
      </c>
      <c r="F214" s="5" t="s">
        <v>1852</v>
      </c>
      <c r="G214" s="5" t="s">
        <v>1853</v>
      </c>
      <c r="H214" s="5" t="n">
        <v>0</v>
      </c>
      <c r="I214" s="5" t="n">
        <v>29.1552945240974</v>
      </c>
    </row>
    <row r="215" customFormat="false" ht="15" hidden="false" customHeight="false" outlineLevel="0" collapsed="false">
      <c r="A215" s="5" t="s">
        <v>1548</v>
      </c>
      <c r="B215" s="5" t="s">
        <v>1549</v>
      </c>
      <c r="C215" s="5"/>
      <c r="D215" s="5" t="s">
        <v>1839</v>
      </c>
      <c r="E215" s="5" t="s">
        <v>1684</v>
      </c>
      <c r="F215" s="5" t="s">
        <v>1826</v>
      </c>
      <c r="G215" s="5" t="s">
        <v>1579</v>
      </c>
      <c r="H215" s="5" t="n">
        <v>0</v>
      </c>
      <c r="I215" s="5" t="n">
        <v>28.8744777033169</v>
      </c>
    </row>
    <row r="216" customFormat="false" ht="15" hidden="false" customHeight="false" outlineLevel="0" collapsed="false">
      <c r="A216" s="5" t="s">
        <v>1548</v>
      </c>
      <c r="B216" s="5" t="s">
        <v>1549</v>
      </c>
      <c r="C216" s="5"/>
      <c r="D216" s="5" t="s">
        <v>1839</v>
      </c>
      <c r="E216" s="5" t="s">
        <v>1684</v>
      </c>
      <c r="F216" s="5" t="s">
        <v>1673</v>
      </c>
      <c r="G216" s="5" t="s">
        <v>1674</v>
      </c>
      <c r="H216" s="5" t="n">
        <v>1</v>
      </c>
      <c r="I216" s="5" t="n">
        <v>29.367</v>
      </c>
    </row>
    <row r="217" customFormat="false" ht="15" hidden="false" customHeight="false" outlineLevel="0" collapsed="false">
      <c r="A217" s="5" t="s">
        <v>1548</v>
      </c>
      <c r="B217" s="5" t="s">
        <v>1549</v>
      </c>
      <c r="C217" s="5"/>
      <c r="D217" s="5" t="s">
        <v>1839</v>
      </c>
      <c r="E217" s="5" t="s">
        <v>1684</v>
      </c>
      <c r="F217" s="5" t="s">
        <v>1675</v>
      </c>
      <c r="G217" s="5" t="s">
        <v>1676</v>
      </c>
      <c r="H217" s="5" t="n">
        <v>1</v>
      </c>
      <c r="I217" s="5" t="n">
        <v>30.125</v>
      </c>
    </row>
    <row r="218" customFormat="false" ht="15" hidden="false" customHeight="false" outlineLevel="0" collapsed="false">
      <c r="A218" s="5" t="s">
        <v>1548</v>
      </c>
      <c r="B218" s="5" t="s">
        <v>1549</v>
      </c>
      <c r="C218" s="5"/>
      <c r="D218" s="5" t="s">
        <v>1854</v>
      </c>
      <c r="E218" s="5" t="s">
        <v>1654</v>
      </c>
      <c r="F218" s="5" t="s">
        <v>1826</v>
      </c>
      <c r="G218" s="5" t="s">
        <v>1579</v>
      </c>
      <c r="H218" s="5" t="n">
        <v>0</v>
      </c>
      <c r="I218" s="5" t="n">
        <v>193242</v>
      </c>
    </row>
    <row r="219" customFormat="false" ht="15" hidden="false" customHeight="false" outlineLevel="0" collapsed="false">
      <c r="A219" s="5" t="s">
        <v>1548</v>
      </c>
      <c r="B219" s="5" t="s">
        <v>1549</v>
      </c>
      <c r="C219" s="5"/>
      <c r="D219" s="5" t="s">
        <v>1854</v>
      </c>
      <c r="E219" s="5" t="s">
        <v>1654</v>
      </c>
      <c r="F219" s="5" t="s">
        <v>1673</v>
      </c>
      <c r="G219" s="5" t="s">
        <v>1674</v>
      </c>
      <c r="H219" s="5" t="n">
        <v>1</v>
      </c>
      <c r="I219" s="5" t="n">
        <v>194071.605263158</v>
      </c>
    </row>
    <row r="220" customFormat="false" ht="15" hidden="false" customHeight="false" outlineLevel="0" collapsed="false">
      <c r="A220" s="5" t="s">
        <v>1548</v>
      </c>
      <c r="B220" s="5" t="s">
        <v>1549</v>
      </c>
      <c r="C220" s="5"/>
      <c r="D220" s="5" t="s">
        <v>1854</v>
      </c>
      <c r="E220" s="5" t="s">
        <v>1654</v>
      </c>
      <c r="F220" s="5" t="s">
        <v>1675</v>
      </c>
      <c r="G220" s="5" t="s">
        <v>1676</v>
      </c>
      <c r="H220" s="5" t="n">
        <v>1</v>
      </c>
      <c r="I220" s="5" t="n">
        <v>200107.307692308</v>
      </c>
    </row>
    <row r="221" customFormat="false" ht="15" hidden="false" customHeight="false" outlineLevel="0" collapsed="false">
      <c r="A221" s="5" t="s">
        <v>1548</v>
      </c>
      <c r="B221" s="5" t="s">
        <v>1549</v>
      </c>
      <c r="C221" s="5"/>
      <c r="D221" s="5" t="s">
        <v>1839</v>
      </c>
      <c r="E221" s="5" t="s">
        <v>1654</v>
      </c>
      <c r="F221" s="5" t="s">
        <v>1840</v>
      </c>
      <c r="G221" s="5" t="s">
        <v>1841</v>
      </c>
      <c r="H221" s="5" t="n">
        <v>0</v>
      </c>
      <c r="I221" s="5" t="n">
        <v>20.0363140576043</v>
      </c>
    </row>
    <row r="222" customFormat="false" ht="15" hidden="false" customHeight="false" outlineLevel="0" collapsed="false">
      <c r="A222" s="5" t="s">
        <v>1548</v>
      </c>
      <c r="B222" s="5" t="s">
        <v>1549</v>
      </c>
      <c r="C222" s="5"/>
      <c r="D222" s="5" t="s">
        <v>1839</v>
      </c>
      <c r="E222" s="5" t="s">
        <v>1654</v>
      </c>
      <c r="F222" s="5" t="s">
        <v>1842</v>
      </c>
      <c r="G222" s="5" t="s">
        <v>1843</v>
      </c>
      <c r="H222" s="5" t="n">
        <v>0</v>
      </c>
      <c r="I222" s="5" t="n">
        <v>23.7765364932276</v>
      </c>
    </row>
    <row r="223" customFormat="false" ht="15" hidden="false" customHeight="false" outlineLevel="0" collapsed="false">
      <c r="A223" s="5" t="s">
        <v>1548</v>
      </c>
      <c r="B223" s="5" t="s">
        <v>1549</v>
      </c>
      <c r="C223" s="5"/>
      <c r="D223" s="5" t="s">
        <v>1839</v>
      </c>
      <c r="E223" s="5" t="s">
        <v>1654</v>
      </c>
      <c r="F223" s="5" t="s">
        <v>1844</v>
      </c>
      <c r="G223" s="5" t="s">
        <v>1845</v>
      </c>
      <c r="H223" s="5" t="n">
        <v>0</v>
      </c>
      <c r="I223" s="5" t="n">
        <v>20.7783456015293</v>
      </c>
    </row>
    <row r="224" customFormat="false" ht="15" hidden="false" customHeight="false" outlineLevel="0" collapsed="false">
      <c r="A224" s="5" t="s">
        <v>1548</v>
      </c>
      <c r="B224" s="5" t="s">
        <v>1549</v>
      </c>
      <c r="C224" s="5"/>
      <c r="D224" s="5" t="s">
        <v>1839</v>
      </c>
      <c r="E224" s="5" t="s">
        <v>1654</v>
      </c>
      <c r="F224" s="5" t="s">
        <v>1846</v>
      </c>
      <c r="G224" s="5" t="s">
        <v>1847</v>
      </c>
      <c r="H224" s="5" t="n">
        <v>0</v>
      </c>
      <c r="I224" s="5" t="n">
        <v>18.4314756939072</v>
      </c>
    </row>
    <row r="225" customFormat="false" ht="15" hidden="false" customHeight="false" outlineLevel="0" collapsed="false">
      <c r="A225" s="5" t="s">
        <v>1548</v>
      </c>
      <c r="B225" s="5" t="s">
        <v>1549</v>
      </c>
      <c r="C225" s="5"/>
      <c r="D225" s="5" t="s">
        <v>1839</v>
      </c>
      <c r="E225" s="5" t="s">
        <v>1654</v>
      </c>
      <c r="F225" s="5" t="s">
        <v>1848</v>
      </c>
      <c r="G225" s="5" t="s">
        <v>1849</v>
      </c>
      <c r="H225" s="5" t="n">
        <v>0</v>
      </c>
      <c r="I225" s="5" t="n">
        <v>18.7342288294491</v>
      </c>
    </row>
    <row r="226" customFormat="false" ht="15" hidden="false" customHeight="false" outlineLevel="0" collapsed="false">
      <c r="A226" s="5" t="s">
        <v>1548</v>
      </c>
      <c r="B226" s="5" t="s">
        <v>1549</v>
      </c>
      <c r="C226" s="5"/>
      <c r="D226" s="5" t="s">
        <v>1839</v>
      </c>
      <c r="E226" s="5" t="s">
        <v>1654</v>
      </c>
      <c r="F226" s="5" t="s">
        <v>1850</v>
      </c>
      <c r="G226" s="5" t="s">
        <v>1851</v>
      </c>
      <c r="H226" s="5" t="n">
        <v>0</v>
      </c>
      <c r="I226" s="5" t="n">
        <v>20.3391238365489</v>
      </c>
    </row>
    <row r="227" customFormat="false" ht="15" hidden="false" customHeight="false" outlineLevel="0" collapsed="false">
      <c r="A227" s="5" t="s">
        <v>1548</v>
      </c>
      <c r="B227" s="5" t="s">
        <v>1549</v>
      </c>
      <c r="C227" s="5"/>
      <c r="D227" s="5" t="s">
        <v>1839</v>
      </c>
      <c r="E227" s="5" t="s">
        <v>1654</v>
      </c>
      <c r="F227" s="5" t="s">
        <v>1852</v>
      </c>
      <c r="G227" s="5" t="s">
        <v>1853</v>
      </c>
      <c r="H227" s="5" t="n">
        <v>0</v>
      </c>
      <c r="I227" s="5" t="n">
        <v>20.1791112454655</v>
      </c>
    </row>
    <row r="228" customFormat="false" ht="15" hidden="false" customHeight="false" outlineLevel="0" collapsed="false">
      <c r="A228" s="5" t="s">
        <v>1548</v>
      </c>
      <c r="B228" s="5" t="s">
        <v>1549</v>
      </c>
      <c r="C228" s="5"/>
      <c r="D228" s="5" t="s">
        <v>1839</v>
      </c>
      <c r="E228" s="5" t="s">
        <v>1654</v>
      </c>
      <c r="F228" s="5" t="s">
        <v>1826</v>
      </c>
      <c r="G228" s="5" t="s">
        <v>1579</v>
      </c>
      <c r="H228" s="5" t="n">
        <v>0</v>
      </c>
      <c r="I228" s="5" t="n">
        <v>19.9170509382273</v>
      </c>
    </row>
    <row r="229" customFormat="false" ht="15" hidden="false" customHeight="false" outlineLevel="0" collapsed="false">
      <c r="A229" s="5" t="s">
        <v>1548</v>
      </c>
      <c r="B229" s="5" t="s">
        <v>1549</v>
      </c>
      <c r="C229" s="5"/>
      <c r="D229" s="5" t="s">
        <v>1839</v>
      </c>
      <c r="E229" s="5" t="s">
        <v>1654</v>
      </c>
      <c r="F229" s="5" t="s">
        <v>1673</v>
      </c>
      <c r="G229" s="5" t="s">
        <v>1674</v>
      </c>
      <c r="H229" s="5" t="n">
        <v>1</v>
      </c>
      <c r="I229" s="5" t="n">
        <v>19.6055966118631</v>
      </c>
    </row>
    <row r="230" customFormat="false" ht="15" hidden="false" customHeight="false" outlineLevel="0" collapsed="false">
      <c r="A230" s="5" t="s">
        <v>1548</v>
      </c>
      <c r="B230" s="5" t="s">
        <v>1549</v>
      </c>
      <c r="C230" s="5"/>
      <c r="D230" s="5" t="s">
        <v>1839</v>
      </c>
      <c r="E230" s="5" t="s">
        <v>1654</v>
      </c>
      <c r="F230" s="5" t="s">
        <v>1675</v>
      </c>
      <c r="G230" s="5" t="s">
        <v>1676</v>
      </c>
      <c r="H230" s="5" t="n">
        <v>1</v>
      </c>
      <c r="I230" s="5" t="n">
        <v>19.6658560596236</v>
      </c>
    </row>
    <row r="231" customFormat="false" ht="15" hidden="false" customHeight="false" outlineLevel="0" collapsed="false">
      <c r="A231" s="5" t="s">
        <v>1548</v>
      </c>
      <c r="B231" s="5" t="s">
        <v>1549</v>
      </c>
      <c r="C231" s="5"/>
      <c r="D231" s="5" t="s">
        <v>1855</v>
      </c>
      <c r="E231" s="5" t="s">
        <v>1749</v>
      </c>
      <c r="F231" s="5" t="s">
        <v>1826</v>
      </c>
      <c r="G231" s="5" t="s">
        <v>1579</v>
      </c>
      <c r="H231" s="5" t="n">
        <v>0</v>
      </c>
      <c r="I231" s="5" t="n">
        <v>133169</v>
      </c>
    </row>
    <row r="232" customFormat="false" ht="15" hidden="false" customHeight="false" outlineLevel="0" collapsed="false">
      <c r="A232" s="5" t="s">
        <v>1548</v>
      </c>
      <c r="B232" s="5" t="s">
        <v>1549</v>
      </c>
      <c r="C232" s="5"/>
      <c r="D232" s="5" t="s">
        <v>1855</v>
      </c>
      <c r="E232" s="5" t="s">
        <v>1749</v>
      </c>
      <c r="F232" s="5" t="s">
        <v>1673</v>
      </c>
      <c r="G232" s="5" t="s">
        <v>1674</v>
      </c>
      <c r="H232" s="5" t="n">
        <v>1</v>
      </c>
      <c r="I232" s="5" t="n">
        <v>133193.15</v>
      </c>
    </row>
    <row r="233" customFormat="false" ht="15" hidden="false" customHeight="false" outlineLevel="0" collapsed="false">
      <c r="A233" s="5" t="s">
        <v>1548</v>
      </c>
      <c r="B233" s="5" t="s">
        <v>1549</v>
      </c>
      <c r="C233" s="5"/>
      <c r="D233" s="5" t="s">
        <v>1855</v>
      </c>
      <c r="E233" s="5" t="s">
        <v>1749</v>
      </c>
      <c r="F233" s="5" t="s">
        <v>1675</v>
      </c>
      <c r="G233" s="5" t="s">
        <v>1676</v>
      </c>
      <c r="H233" s="5" t="n">
        <v>1</v>
      </c>
      <c r="I233" s="5" t="n">
        <v>136686.975</v>
      </c>
    </row>
    <row r="234" customFormat="false" ht="15" hidden="false" customHeight="false" outlineLevel="0" collapsed="false">
      <c r="A234" s="5" t="s">
        <v>1548</v>
      </c>
      <c r="B234" s="5" t="s">
        <v>1549</v>
      </c>
      <c r="C234" s="5"/>
      <c r="D234" s="5" t="s">
        <v>1839</v>
      </c>
      <c r="E234" s="5" t="s">
        <v>1749</v>
      </c>
      <c r="F234" s="5" t="s">
        <v>1840</v>
      </c>
      <c r="G234" s="5" t="s">
        <v>1841</v>
      </c>
      <c r="H234" s="5" t="n">
        <v>0</v>
      </c>
      <c r="I234" s="5" t="n">
        <v>15.5751419132396</v>
      </c>
    </row>
    <row r="235" customFormat="false" ht="15" hidden="false" customHeight="false" outlineLevel="0" collapsed="false">
      <c r="A235" s="5" t="s">
        <v>1548</v>
      </c>
      <c r="B235" s="5" t="s">
        <v>1549</v>
      </c>
      <c r="C235" s="5"/>
      <c r="D235" s="5" t="s">
        <v>1839</v>
      </c>
      <c r="E235" s="5" t="s">
        <v>1749</v>
      </c>
      <c r="F235" s="5" t="s">
        <v>1842</v>
      </c>
      <c r="G235" s="5" t="s">
        <v>1843</v>
      </c>
      <c r="H235" s="5" t="n">
        <v>0</v>
      </c>
      <c r="I235" s="5" t="n">
        <v>17.0988327978948</v>
      </c>
    </row>
    <row r="236" customFormat="false" ht="15" hidden="false" customHeight="false" outlineLevel="0" collapsed="false">
      <c r="A236" s="5" t="s">
        <v>1548</v>
      </c>
      <c r="B236" s="5" t="s">
        <v>1549</v>
      </c>
      <c r="C236" s="5"/>
      <c r="D236" s="5" t="s">
        <v>1839</v>
      </c>
      <c r="E236" s="5" t="s">
        <v>1749</v>
      </c>
      <c r="F236" s="5" t="s">
        <v>1844</v>
      </c>
      <c r="G236" s="5" t="s">
        <v>1845</v>
      </c>
      <c r="H236" s="5" t="n">
        <v>0</v>
      </c>
      <c r="I236" s="5" t="n">
        <v>15.1071716476975</v>
      </c>
    </row>
    <row r="237" customFormat="false" ht="15" hidden="false" customHeight="false" outlineLevel="0" collapsed="false">
      <c r="A237" s="5" t="s">
        <v>1548</v>
      </c>
      <c r="B237" s="5" t="s">
        <v>1549</v>
      </c>
      <c r="C237" s="5"/>
      <c r="D237" s="5" t="s">
        <v>1839</v>
      </c>
      <c r="E237" s="5" t="s">
        <v>1749</v>
      </c>
      <c r="F237" s="5" t="s">
        <v>1846</v>
      </c>
      <c r="G237" s="5" t="s">
        <v>1847</v>
      </c>
      <c r="H237" s="5" t="n">
        <v>0</v>
      </c>
      <c r="I237" s="5" t="n">
        <v>12.3240777520898</v>
      </c>
    </row>
    <row r="238" customFormat="false" ht="15" hidden="false" customHeight="false" outlineLevel="0" collapsed="false">
      <c r="A238" s="5" t="s">
        <v>1548</v>
      </c>
      <c r="B238" s="5" t="s">
        <v>1549</v>
      </c>
      <c r="C238" s="5"/>
      <c r="D238" s="5" t="s">
        <v>1839</v>
      </c>
      <c r="E238" s="5" t="s">
        <v>1749</v>
      </c>
      <c r="F238" s="5" t="s">
        <v>1848</v>
      </c>
      <c r="G238" s="5" t="s">
        <v>1849</v>
      </c>
      <c r="H238" s="5" t="n">
        <v>0</v>
      </c>
      <c r="I238" s="5" t="n">
        <v>11.8640922991568</v>
      </c>
    </row>
    <row r="239" customFormat="false" ht="15" hidden="false" customHeight="false" outlineLevel="0" collapsed="false">
      <c r="A239" s="5" t="s">
        <v>1548</v>
      </c>
      <c r="B239" s="5" t="s">
        <v>1549</v>
      </c>
      <c r="C239" s="5"/>
      <c r="D239" s="5" t="s">
        <v>1839</v>
      </c>
      <c r="E239" s="5" t="s">
        <v>1749</v>
      </c>
      <c r="F239" s="5" t="s">
        <v>1850</v>
      </c>
      <c r="G239" s="5" t="s">
        <v>1851</v>
      </c>
      <c r="H239" s="5" t="n">
        <v>0</v>
      </c>
      <c r="I239" s="5" t="n">
        <v>14.1371449257142</v>
      </c>
    </row>
    <row r="240" customFormat="false" ht="15" hidden="false" customHeight="false" outlineLevel="0" collapsed="false">
      <c r="A240" s="5" t="s">
        <v>1548</v>
      </c>
      <c r="B240" s="5" t="s">
        <v>1549</v>
      </c>
      <c r="C240" s="5"/>
      <c r="D240" s="5" t="s">
        <v>1839</v>
      </c>
      <c r="E240" s="5" t="s">
        <v>1749</v>
      </c>
      <c r="F240" s="5" t="s">
        <v>1852</v>
      </c>
      <c r="G240" s="5" t="s">
        <v>1853</v>
      </c>
      <c r="H240" s="5" t="n">
        <v>0</v>
      </c>
      <c r="I240" s="5" t="n">
        <v>13.6976697184315</v>
      </c>
    </row>
    <row r="241" customFormat="false" ht="15" hidden="false" customHeight="false" outlineLevel="0" collapsed="false">
      <c r="A241" s="5" t="s">
        <v>1548</v>
      </c>
      <c r="B241" s="5" t="s">
        <v>1549</v>
      </c>
      <c r="C241" s="5"/>
      <c r="D241" s="5" t="s">
        <v>1839</v>
      </c>
      <c r="E241" s="5" t="s">
        <v>1749</v>
      </c>
      <c r="F241" s="5" t="s">
        <v>1826</v>
      </c>
      <c r="G241" s="5" t="s">
        <v>1579</v>
      </c>
      <c r="H241" s="5" t="n">
        <v>0</v>
      </c>
      <c r="I241" s="5" t="n">
        <v>13.725451798226</v>
      </c>
    </row>
    <row r="242" customFormat="false" ht="15" hidden="false" customHeight="false" outlineLevel="0" collapsed="false">
      <c r="A242" s="5" t="s">
        <v>1548</v>
      </c>
      <c r="B242" s="5" t="s">
        <v>1549</v>
      </c>
      <c r="C242" s="5"/>
      <c r="D242" s="5" t="s">
        <v>1839</v>
      </c>
      <c r="E242" s="5" t="s">
        <v>1749</v>
      </c>
      <c r="F242" s="5" t="s">
        <v>1673</v>
      </c>
      <c r="G242" s="5" t="s">
        <v>1674</v>
      </c>
      <c r="H242" s="5" t="n">
        <v>1</v>
      </c>
      <c r="I242" s="5" t="n">
        <v>13.4555035334636</v>
      </c>
    </row>
    <row r="243" customFormat="false" ht="15" hidden="false" customHeight="false" outlineLevel="0" collapsed="false">
      <c r="A243" s="5" t="s">
        <v>1548</v>
      </c>
      <c r="B243" s="5" t="s">
        <v>1549</v>
      </c>
      <c r="C243" s="5"/>
      <c r="D243" s="5" t="s">
        <v>1839</v>
      </c>
      <c r="E243" s="5" t="s">
        <v>1749</v>
      </c>
      <c r="F243" s="5" t="s">
        <v>1675</v>
      </c>
      <c r="G243" s="5" t="s">
        <v>1676</v>
      </c>
      <c r="H243" s="5" t="n">
        <v>1</v>
      </c>
      <c r="I243" s="5" t="n">
        <v>13.4331244899293</v>
      </c>
    </row>
    <row r="244" customFormat="false" ht="15" hidden="false" customHeight="false" outlineLevel="0" collapsed="false">
      <c r="A244" s="5" t="s">
        <v>1548</v>
      </c>
      <c r="B244" s="5" t="s">
        <v>1549</v>
      </c>
      <c r="C244" s="5"/>
      <c r="D244" s="5" t="s">
        <v>1856</v>
      </c>
      <c r="E244" s="5" t="s">
        <v>1769</v>
      </c>
      <c r="F244" s="5" t="s">
        <v>1826</v>
      </c>
      <c r="G244" s="5" t="s">
        <v>1579</v>
      </c>
      <c r="H244" s="5" t="n">
        <v>0</v>
      </c>
      <c r="I244" s="5" t="n">
        <v>12.863417</v>
      </c>
    </row>
    <row r="245" customFormat="false" ht="15" hidden="false" customHeight="false" outlineLevel="0" collapsed="false">
      <c r="A245" s="5" t="s">
        <v>1548</v>
      </c>
      <c r="B245" s="5" t="s">
        <v>1549</v>
      </c>
      <c r="C245" s="5"/>
      <c r="D245" s="5" t="s">
        <v>1856</v>
      </c>
      <c r="E245" s="5" t="s">
        <v>1769</v>
      </c>
      <c r="F245" s="5" t="s">
        <v>1673</v>
      </c>
      <c r="G245" s="5" t="s">
        <v>1674</v>
      </c>
      <c r="H245" s="5" t="n">
        <v>1</v>
      </c>
      <c r="I245" s="5" t="n">
        <v>13.261</v>
      </c>
    </row>
    <row r="246" customFormat="false" ht="15" hidden="false" customHeight="false" outlineLevel="0" collapsed="false">
      <c r="A246" s="5" t="s">
        <v>1548</v>
      </c>
      <c r="B246" s="5" t="s">
        <v>1549</v>
      </c>
      <c r="C246" s="5"/>
      <c r="D246" s="5" t="s">
        <v>1856</v>
      </c>
      <c r="E246" s="5" t="s">
        <v>1769</v>
      </c>
      <c r="F246" s="5" t="s">
        <v>1675</v>
      </c>
      <c r="G246" s="5" t="s">
        <v>1676</v>
      </c>
      <c r="H246" s="5" t="n">
        <v>1</v>
      </c>
      <c r="I246" s="5" t="n">
        <v>13.733</v>
      </c>
    </row>
    <row r="247" customFormat="false" ht="15" hidden="false" customHeight="false" outlineLevel="0" collapsed="false">
      <c r="A247" s="5" t="s">
        <v>1548</v>
      </c>
      <c r="B247" s="5" t="s">
        <v>1549</v>
      </c>
      <c r="C247" s="5"/>
      <c r="D247" s="5" t="s">
        <v>1836</v>
      </c>
      <c r="E247" s="5" t="s">
        <v>1857</v>
      </c>
      <c r="F247" s="5" t="s">
        <v>1826</v>
      </c>
      <c r="G247" s="5" t="s">
        <v>1579</v>
      </c>
      <c r="H247" s="5" t="n">
        <v>0</v>
      </c>
      <c r="I247" s="5" t="n">
        <v>5.01671003918383</v>
      </c>
    </row>
    <row r="248" customFormat="false" ht="15" hidden="false" customHeight="false" outlineLevel="0" collapsed="false">
      <c r="A248" s="5" t="s">
        <v>1548</v>
      </c>
      <c r="B248" s="5" t="s">
        <v>1549</v>
      </c>
      <c r="C248" s="5"/>
      <c r="D248" s="5" t="s">
        <v>1836</v>
      </c>
      <c r="E248" s="5" t="s">
        <v>1857</v>
      </c>
      <c r="F248" s="5" t="s">
        <v>1673</v>
      </c>
      <c r="G248" s="5" t="s">
        <v>1674</v>
      </c>
      <c r="H248" s="5" t="n">
        <v>1</v>
      </c>
      <c r="I248" s="5" t="n">
        <v>9.82761263790257</v>
      </c>
    </row>
    <row r="249" customFormat="false" ht="15" hidden="false" customHeight="false" outlineLevel="0" collapsed="false">
      <c r="A249" s="5" t="s">
        <v>1548</v>
      </c>
      <c r="B249" s="5" t="s">
        <v>1549</v>
      </c>
      <c r="C249" s="5"/>
      <c r="D249" s="5" t="s">
        <v>1836</v>
      </c>
      <c r="E249" s="5" t="s">
        <v>1857</v>
      </c>
      <c r="F249" s="5" t="s">
        <v>1675</v>
      </c>
      <c r="G249" s="5" t="s">
        <v>1676</v>
      </c>
      <c r="H249" s="5" t="n">
        <v>1</v>
      </c>
      <c r="I249" s="5" t="n">
        <v>3.55930925269587</v>
      </c>
    </row>
    <row r="250" customFormat="false" ht="15" hidden="false" customHeight="false" outlineLevel="0" collapsed="false">
      <c r="A250" s="5" t="s">
        <v>1548</v>
      </c>
      <c r="B250" s="5" t="s">
        <v>1549</v>
      </c>
      <c r="C250" s="5"/>
      <c r="D250" s="5" t="s">
        <v>1858</v>
      </c>
      <c r="E250" s="5" t="s">
        <v>1598</v>
      </c>
      <c r="F250" s="5" t="s">
        <v>1826</v>
      </c>
      <c r="G250" s="5" t="s">
        <v>1579</v>
      </c>
      <c r="H250" s="5" t="n">
        <v>0</v>
      </c>
      <c r="I250" s="5" t="n">
        <v>182540</v>
      </c>
    </row>
    <row r="251" customFormat="false" ht="15" hidden="false" customHeight="false" outlineLevel="0" collapsed="false">
      <c r="A251" s="5" t="s">
        <v>1548</v>
      </c>
      <c r="B251" s="5" t="s">
        <v>1549</v>
      </c>
      <c r="C251" s="5"/>
      <c r="D251" s="5" t="s">
        <v>1859</v>
      </c>
      <c r="E251" s="5" t="s">
        <v>1860</v>
      </c>
      <c r="F251" s="5" t="s">
        <v>1826</v>
      </c>
      <c r="G251" s="5" t="s">
        <v>1579</v>
      </c>
      <c r="H251" s="5" t="n">
        <v>0</v>
      </c>
      <c r="I251" s="5" t="n">
        <v>-17129</v>
      </c>
    </row>
    <row r="252" customFormat="false" ht="15" hidden="false" customHeight="false" outlineLevel="0" collapsed="false">
      <c r="A252" s="5" t="s">
        <v>1548</v>
      </c>
      <c r="B252" s="5" t="s">
        <v>1549</v>
      </c>
      <c r="C252" s="5"/>
      <c r="D252" s="5" t="s">
        <v>1859</v>
      </c>
      <c r="E252" s="5" t="s">
        <v>1860</v>
      </c>
      <c r="F252" s="5" t="s">
        <v>1673</v>
      </c>
      <c r="G252" s="5" t="s">
        <v>1674</v>
      </c>
      <c r="H252" s="5" t="n">
        <v>1</v>
      </c>
      <c r="I252" s="5" t="n">
        <v>-21870.55</v>
      </c>
    </row>
    <row r="253" customFormat="false" ht="15" hidden="false" customHeight="false" outlineLevel="0" collapsed="false">
      <c r="A253" s="5" t="s">
        <v>1548</v>
      </c>
      <c r="B253" s="5" t="s">
        <v>1549</v>
      </c>
      <c r="C253" s="5"/>
      <c r="D253" s="5" t="s">
        <v>1859</v>
      </c>
      <c r="E253" s="5" t="s">
        <v>1860</v>
      </c>
      <c r="F253" s="5" t="s">
        <v>1675</v>
      </c>
      <c r="G253" s="5" t="s">
        <v>1676</v>
      </c>
      <c r="H253" s="5" t="n">
        <v>1</v>
      </c>
      <c r="I253" s="5" t="n">
        <v>-20211.9</v>
      </c>
    </row>
    <row r="254" customFormat="false" ht="15" hidden="false" customHeight="false" outlineLevel="0" collapsed="false">
      <c r="A254" s="5" t="s">
        <v>1548</v>
      </c>
      <c r="B254" s="5" t="s">
        <v>1549</v>
      </c>
      <c r="C254" s="5"/>
      <c r="D254" s="5" t="s">
        <v>1659</v>
      </c>
      <c r="E254" s="5" t="s">
        <v>1660</v>
      </c>
      <c r="F254" s="5" t="s">
        <v>1826</v>
      </c>
      <c r="G254" s="5" t="s">
        <v>1579</v>
      </c>
      <c r="H254" s="5" t="n">
        <v>0</v>
      </c>
      <c r="I254" s="5" t="n">
        <v>165411</v>
      </c>
    </row>
    <row r="255" customFormat="false" ht="23.85" hidden="false" customHeight="false" outlineLevel="0" collapsed="false">
      <c r="A255" s="5" t="s">
        <v>1559</v>
      </c>
      <c r="B255" s="6" t="s">
        <v>1560</v>
      </c>
      <c r="C255" s="5"/>
      <c r="D255" s="5" t="s">
        <v>1861</v>
      </c>
      <c r="E255" s="5" t="s">
        <v>1743</v>
      </c>
      <c r="F255" s="5" t="s">
        <v>1578</v>
      </c>
      <c r="G255" s="5" t="s">
        <v>1579</v>
      </c>
      <c r="H255" s="5" t="n">
        <v>0</v>
      </c>
      <c r="I255" s="5" t="n">
        <v>131734</v>
      </c>
    </row>
    <row r="256" customFormat="false" ht="23.85" hidden="false" customHeight="false" outlineLevel="0" collapsed="false">
      <c r="A256" s="5" t="s">
        <v>1559</v>
      </c>
      <c r="B256" s="6" t="s">
        <v>1560</v>
      </c>
      <c r="C256" s="5"/>
      <c r="D256" s="6" t="s">
        <v>1862</v>
      </c>
      <c r="E256" s="5" t="s">
        <v>1863</v>
      </c>
      <c r="F256" s="5" t="s">
        <v>1578</v>
      </c>
      <c r="G256" s="5" t="s">
        <v>1579</v>
      </c>
      <c r="H256" s="5" t="n">
        <v>0</v>
      </c>
      <c r="I256" s="5" t="n">
        <v>29016</v>
      </c>
    </row>
    <row r="257" customFormat="false" ht="23.85" hidden="false" customHeight="false" outlineLevel="0" collapsed="false">
      <c r="A257" s="5" t="s">
        <v>1559</v>
      </c>
      <c r="B257" s="6" t="s">
        <v>1560</v>
      </c>
      <c r="C257" s="5"/>
      <c r="D257" s="5" t="s">
        <v>1864</v>
      </c>
      <c r="E257" s="5" t="s">
        <v>1865</v>
      </c>
      <c r="F257" s="5" t="s">
        <v>1578</v>
      </c>
      <c r="G257" s="5" t="s">
        <v>1579</v>
      </c>
      <c r="H257" s="5" t="n">
        <v>0</v>
      </c>
      <c r="I257" s="5" t="n">
        <v>2506</v>
      </c>
    </row>
    <row r="258" customFormat="false" ht="23.85" hidden="false" customHeight="false" outlineLevel="0" collapsed="false">
      <c r="A258" s="5" t="s">
        <v>1559</v>
      </c>
      <c r="B258" s="6" t="s">
        <v>1560</v>
      </c>
      <c r="C258" s="5"/>
      <c r="D258" s="6" t="s">
        <v>1866</v>
      </c>
      <c r="E258" s="5" t="s">
        <v>1867</v>
      </c>
      <c r="F258" s="5" t="s">
        <v>1578</v>
      </c>
      <c r="G258" s="5" t="s">
        <v>1579</v>
      </c>
      <c r="H258" s="5" t="n">
        <v>0</v>
      </c>
      <c r="I258" s="5" t="n">
        <v>709</v>
      </c>
    </row>
    <row r="259" customFormat="false" ht="23.85" hidden="false" customHeight="false" outlineLevel="0" collapsed="false">
      <c r="A259" s="5" t="s">
        <v>1559</v>
      </c>
      <c r="B259" s="6" t="s">
        <v>1560</v>
      </c>
      <c r="C259" s="5"/>
      <c r="D259" s="5" t="s">
        <v>1868</v>
      </c>
      <c r="E259" s="5" t="s">
        <v>1869</v>
      </c>
      <c r="F259" s="5" t="s">
        <v>1578</v>
      </c>
      <c r="G259" s="5" t="s">
        <v>1579</v>
      </c>
      <c r="H259" s="5" t="n">
        <v>0</v>
      </c>
      <c r="I259" s="5" t="n">
        <v>-1910</v>
      </c>
    </row>
    <row r="260" customFormat="false" ht="23.85" hidden="false" customHeight="false" outlineLevel="0" collapsed="false">
      <c r="A260" s="5" t="s">
        <v>1559</v>
      </c>
      <c r="B260" s="6" t="s">
        <v>1560</v>
      </c>
      <c r="C260" s="5"/>
      <c r="D260" s="5" t="s">
        <v>1870</v>
      </c>
      <c r="E260" s="5" t="s">
        <v>1871</v>
      </c>
      <c r="F260" s="5" t="s">
        <v>1578</v>
      </c>
      <c r="G260" s="5" t="s">
        <v>1579</v>
      </c>
      <c r="H260" s="5" t="n">
        <v>0</v>
      </c>
      <c r="I260" s="5" t="n">
        <v>162055</v>
      </c>
    </row>
    <row r="261" customFormat="false" ht="23.85" hidden="false" customHeight="false" outlineLevel="0" collapsed="false">
      <c r="A261" s="5" t="s">
        <v>1559</v>
      </c>
      <c r="B261" s="6" t="s">
        <v>1560</v>
      </c>
      <c r="C261" s="5"/>
      <c r="D261" s="5" t="s">
        <v>1872</v>
      </c>
      <c r="E261" s="5" t="s">
        <v>1873</v>
      </c>
      <c r="F261" s="5" t="s">
        <v>1578</v>
      </c>
      <c r="G261" s="5" t="s">
        <v>1579</v>
      </c>
      <c r="H261" s="5" t="n">
        <v>0</v>
      </c>
      <c r="I261" s="5" t="n">
        <v>15.688255</v>
      </c>
    </row>
    <row r="262" customFormat="false" ht="23.85" hidden="false" customHeight="false" outlineLevel="0" collapsed="false">
      <c r="A262" s="5" t="s">
        <v>1559</v>
      </c>
      <c r="B262" s="6" t="s">
        <v>1560</v>
      </c>
      <c r="C262" s="5"/>
      <c r="D262" s="5" t="s">
        <v>1874</v>
      </c>
      <c r="E262" s="5" t="s">
        <v>1757</v>
      </c>
      <c r="F262" s="5" t="s">
        <v>1578</v>
      </c>
      <c r="G262" s="5" t="s">
        <v>1579</v>
      </c>
      <c r="H262" s="5" t="n">
        <v>0</v>
      </c>
      <c r="I262" s="5" t="n">
        <v>12.75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13" min="2" style="0" width="14"/>
  </cols>
  <sheetData>
    <row r="1" customFormat="false" ht="15" hidden="false" customHeight="false" outlineLevel="0" collapsed="false">
      <c r="A1" s="14" t="s">
        <v>1875</v>
      </c>
    </row>
    <row r="3" customFormat="false" ht="46.25" hidden="false" customHeight="false" outlineLevel="0" collapsed="false">
      <c r="A3" s="4" t="s">
        <v>1876</v>
      </c>
      <c r="B3" s="4" t="s">
        <v>1877</v>
      </c>
      <c r="C3" s="4" t="s">
        <v>1878</v>
      </c>
      <c r="D3" s="4" t="s">
        <v>1879</v>
      </c>
      <c r="E3" s="4" t="s">
        <v>1880</v>
      </c>
      <c r="F3" s="4" t="s">
        <v>1881</v>
      </c>
      <c r="G3" s="4" t="s">
        <v>1882</v>
      </c>
      <c r="H3" s="4" t="s">
        <v>1883</v>
      </c>
      <c r="I3" s="4" t="s">
        <v>1884</v>
      </c>
      <c r="J3" s="4" t="s">
        <v>1885</v>
      </c>
      <c r="K3" s="4" t="s">
        <v>1886</v>
      </c>
      <c r="L3" s="4" t="s">
        <v>1887</v>
      </c>
      <c r="M3" s="4" t="s">
        <v>1888</v>
      </c>
    </row>
    <row r="4" customFormat="false" ht="15" hidden="false" customHeight="false" outlineLevel="0" collapsed="false">
      <c r="A4" s="7" t="s">
        <v>1511</v>
      </c>
      <c r="B4" s="7" t="s">
        <v>1889</v>
      </c>
      <c r="C4" s="7" t="s">
        <v>1889</v>
      </c>
      <c r="D4" s="7" t="s">
        <v>1889</v>
      </c>
      <c r="E4" s="7" t="s">
        <v>1889</v>
      </c>
      <c r="F4" s="7" t="s">
        <v>1889</v>
      </c>
      <c r="G4" s="7" t="s">
        <v>1889</v>
      </c>
      <c r="H4" s="7" t="s">
        <v>1889</v>
      </c>
      <c r="I4" s="7" t="s">
        <v>1889</v>
      </c>
      <c r="J4" s="7" t="s">
        <v>1889</v>
      </c>
      <c r="K4" s="7" t="s">
        <v>1889</v>
      </c>
      <c r="L4" s="7" t="s">
        <v>1889</v>
      </c>
      <c r="M4" s="7" t="s">
        <v>1889</v>
      </c>
    </row>
    <row r="5" customFormat="false" ht="15" hidden="false" customHeight="false" outlineLevel="0" collapsed="false">
      <c r="A5" s="7" t="s">
        <v>1890</v>
      </c>
      <c r="B5" s="7" t="s">
        <v>1889</v>
      </c>
      <c r="C5" s="7" t="s">
        <v>1889</v>
      </c>
      <c r="D5" s="7" t="s">
        <v>1889</v>
      </c>
      <c r="E5" s="7" t="s">
        <v>1889</v>
      </c>
      <c r="F5" s="7" t="s">
        <v>1889</v>
      </c>
      <c r="G5" s="7" t="s">
        <v>1889</v>
      </c>
      <c r="H5" s="7" t="s">
        <v>1889</v>
      </c>
      <c r="I5" s="7" t="s">
        <v>1889</v>
      </c>
      <c r="J5" s="7" t="s">
        <v>1889</v>
      </c>
      <c r="K5" s="7" t="s">
        <v>1889</v>
      </c>
      <c r="L5" s="7" t="s">
        <v>1889</v>
      </c>
      <c r="M5" s="7" t="s">
        <v>1889</v>
      </c>
    </row>
    <row r="6" customFormat="false" ht="15" hidden="false" customHeight="false" outlineLevel="0" collapsed="false">
      <c r="A6" s="7" t="s">
        <v>1891</v>
      </c>
      <c r="B6" s="7" t="s">
        <v>1889</v>
      </c>
      <c r="C6" s="7" t="s">
        <v>1889</v>
      </c>
      <c r="D6" s="7" t="s">
        <v>719</v>
      </c>
      <c r="E6" s="7" t="s">
        <v>1889</v>
      </c>
      <c r="F6" s="7" t="s">
        <v>1889</v>
      </c>
      <c r="G6" s="7" t="s">
        <v>1889</v>
      </c>
      <c r="H6" s="7" t="s">
        <v>1889</v>
      </c>
      <c r="I6" s="7" t="s">
        <v>1889</v>
      </c>
      <c r="J6" s="7" t="s">
        <v>719</v>
      </c>
      <c r="K6" s="7" t="s">
        <v>1889</v>
      </c>
      <c r="L6" s="7" t="s">
        <v>1889</v>
      </c>
      <c r="M6" s="7" t="s">
        <v>1889</v>
      </c>
    </row>
    <row r="7" customFormat="false" ht="15" hidden="false" customHeight="false" outlineLevel="0" collapsed="false">
      <c r="A7" s="7" t="s">
        <v>1892</v>
      </c>
      <c r="B7" s="7" t="s">
        <v>1889</v>
      </c>
      <c r="C7" s="7" t="s">
        <v>1889</v>
      </c>
      <c r="D7" s="7" t="s">
        <v>1889</v>
      </c>
      <c r="E7" s="7" t="s">
        <v>1889</v>
      </c>
      <c r="F7" s="7" t="s">
        <v>1889</v>
      </c>
      <c r="G7" s="7" t="s">
        <v>1889</v>
      </c>
      <c r="H7" s="7" t="s">
        <v>1889</v>
      </c>
      <c r="I7" s="7" t="s">
        <v>719</v>
      </c>
      <c r="J7" s="7" t="s">
        <v>1889</v>
      </c>
      <c r="K7" s="7" t="s">
        <v>1889</v>
      </c>
      <c r="L7" s="7" t="s">
        <v>1889</v>
      </c>
      <c r="M7" s="7" t="s">
        <v>1889</v>
      </c>
    </row>
    <row r="8" customFormat="false" ht="15" hidden="false" customHeight="false" outlineLevel="0" collapsed="false">
      <c r="A8" s="7" t="s">
        <v>1893</v>
      </c>
      <c r="B8" s="7" t="s">
        <v>1889</v>
      </c>
      <c r="C8" s="7" t="s">
        <v>1889</v>
      </c>
      <c r="D8" s="7" t="s">
        <v>1889</v>
      </c>
      <c r="E8" s="7" t="s">
        <v>1889</v>
      </c>
      <c r="F8" s="7" t="s">
        <v>1889</v>
      </c>
      <c r="G8" s="7" t="s">
        <v>1889</v>
      </c>
      <c r="H8" s="7" t="s">
        <v>1889</v>
      </c>
      <c r="I8" s="7" t="s">
        <v>1889</v>
      </c>
      <c r="J8" s="7" t="s">
        <v>1889</v>
      </c>
      <c r="K8" s="7" t="s">
        <v>1889</v>
      </c>
      <c r="L8" s="7" t="s">
        <v>719</v>
      </c>
      <c r="M8" s="7" t="s">
        <v>1889</v>
      </c>
    </row>
    <row r="9" customFormat="false" ht="15" hidden="false" customHeight="false" outlineLevel="0" collapsed="false">
      <c r="A9" s="7" t="s">
        <v>1894</v>
      </c>
      <c r="B9" s="7" t="s">
        <v>1889</v>
      </c>
      <c r="C9" s="7" t="s">
        <v>1889</v>
      </c>
      <c r="D9" s="7" t="s">
        <v>1889</v>
      </c>
      <c r="E9" s="7" t="s">
        <v>1889</v>
      </c>
      <c r="F9" s="7" t="s">
        <v>1889</v>
      </c>
      <c r="G9" s="7" t="s">
        <v>1889</v>
      </c>
      <c r="H9" s="7" t="s">
        <v>1889</v>
      </c>
      <c r="I9" s="7" t="s">
        <v>1889</v>
      </c>
      <c r="J9" s="7" t="s">
        <v>1889</v>
      </c>
      <c r="K9" s="7" t="s">
        <v>1889</v>
      </c>
      <c r="L9" s="7" t="s">
        <v>1889</v>
      </c>
      <c r="M9" s="7" t="s">
        <v>1889</v>
      </c>
    </row>
    <row r="10" customFormat="false" ht="15" hidden="false" customHeight="false" outlineLevel="0" collapsed="false">
      <c r="A10" s="7" t="s">
        <v>1895</v>
      </c>
      <c r="B10" s="7" t="s">
        <v>1889</v>
      </c>
      <c r="C10" s="7" t="s">
        <v>1889</v>
      </c>
      <c r="D10" s="7" t="s">
        <v>719</v>
      </c>
      <c r="E10" s="7" t="s">
        <v>1889</v>
      </c>
      <c r="F10" s="7" t="s">
        <v>1889</v>
      </c>
      <c r="G10" s="7" t="s">
        <v>1889</v>
      </c>
      <c r="H10" s="7" t="s">
        <v>1889</v>
      </c>
      <c r="I10" s="7" t="s">
        <v>1889</v>
      </c>
      <c r="J10" s="7" t="s">
        <v>1889</v>
      </c>
      <c r="K10" s="7" t="s">
        <v>1889</v>
      </c>
      <c r="L10" s="7" t="s">
        <v>719</v>
      </c>
      <c r="M10" s="7" t="s">
        <v>1889</v>
      </c>
    </row>
    <row r="11" customFormat="false" ht="15" hidden="false" customHeight="false" outlineLevel="0" collapsed="false">
      <c r="A11" s="7" t="s">
        <v>1896</v>
      </c>
      <c r="B11" s="7" t="s">
        <v>1889</v>
      </c>
      <c r="C11" s="7" t="s">
        <v>719</v>
      </c>
      <c r="D11" s="7" t="s">
        <v>719</v>
      </c>
      <c r="E11" s="7" t="s">
        <v>719</v>
      </c>
      <c r="F11" s="7" t="s">
        <v>719</v>
      </c>
      <c r="G11" s="7" t="s">
        <v>1889</v>
      </c>
      <c r="H11" s="7" t="s">
        <v>1889</v>
      </c>
      <c r="I11" s="7" t="s">
        <v>719</v>
      </c>
      <c r="J11" s="7" t="s">
        <v>1889</v>
      </c>
      <c r="K11" s="7" t="s">
        <v>719</v>
      </c>
      <c r="L11" s="7" t="s">
        <v>1889</v>
      </c>
      <c r="M11" s="7" t="s">
        <v>719</v>
      </c>
    </row>
    <row r="12" customFormat="false" ht="15" hidden="false" customHeight="false" outlineLevel="0" collapsed="false">
      <c r="A12" s="7" t="s">
        <v>1897</v>
      </c>
      <c r="B12" s="7" t="s">
        <v>1889</v>
      </c>
      <c r="C12" s="7" t="s">
        <v>719</v>
      </c>
      <c r="D12" s="7" t="s">
        <v>719</v>
      </c>
      <c r="E12" s="7" t="s">
        <v>719</v>
      </c>
      <c r="F12" s="7" t="s">
        <v>719</v>
      </c>
      <c r="G12" s="7" t="s">
        <v>1889</v>
      </c>
      <c r="H12" s="7" t="s">
        <v>1889</v>
      </c>
      <c r="I12" s="7" t="s">
        <v>719</v>
      </c>
      <c r="J12" s="7" t="s">
        <v>719</v>
      </c>
      <c r="K12" s="7" t="s">
        <v>719</v>
      </c>
      <c r="L12" s="7" t="s">
        <v>719</v>
      </c>
      <c r="M12" s="7" t="s">
        <v>719</v>
      </c>
    </row>
    <row r="13" customFormat="false" ht="15" hidden="false" customHeight="false" outlineLevel="0" collapsed="false">
      <c r="A13" s="7" t="s">
        <v>1898</v>
      </c>
      <c r="B13" s="7" t="s">
        <v>1889</v>
      </c>
      <c r="C13" s="7" t="s">
        <v>719</v>
      </c>
      <c r="D13" s="7" t="s">
        <v>719</v>
      </c>
      <c r="E13" s="7" t="s">
        <v>719</v>
      </c>
      <c r="F13" s="7" t="s">
        <v>1889</v>
      </c>
      <c r="G13" s="7" t="s">
        <v>1889</v>
      </c>
      <c r="H13" s="7" t="s">
        <v>1889</v>
      </c>
      <c r="I13" s="7" t="s">
        <v>719</v>
      </c>
      <c r="J13" s="7" t="s">
        <v>1889</v>
      </c>
      <c r="K13" s="7" t="s">
        <v>1889</v>
      </c>
      <c r="L13" s="7" t="s">
        <v>719</v>
      </c>
      <c r="M13" s="7" t="s">
        <v>719</v>
      </c>
    </row>
    <row r="14" customFormat="false" ht="15" hidden="false" customHeight="false" outlineLevel="0" collapsed="false">
      <c r="A14" s="7" t="s">
        <v>1899</v>
      </c>
      <c r="B14" s="7" t="s">
        <v>1889</v>
      </c>
      <c r="C14" s="7" t="s">
        <v>1889</v>
      </c>
      <c r="D14" s="7" t="s">
        <v>1889</v>
      </c>
      <c r="E14" s="7" t="s">
        <v>1889</v>
      </c>
      <c r="F14" s="7" t="s">
        <v>1889</v>
      </c>
      <c r="G14" s="7" t="s">
        <v>1889</v>
      </c>
      <c r="H14" s="7" t="s">
        <v>1889</v>
      </c>
      <c r="I14" s="7" t="s">
        <v>1889</v>
      </c>
      <c r="J14" s="7" t="s">
        <v>1889</v>
      </c>
      <c r="K14" s="7" t="s">
        <v>719</v>
      </c>
      <c r="L14" s="7" t="s">
        <v>1889</v>
      </c>
      <c r="M14" s="7" t="s">
        <v>1889</v>
      </c>
    </row>
    <row r="15" customFormat="false" ht="15" hidden="false" customHeight="false" outlineLevel="0" collapsed="false">
      <c r="A15" s="7" t="s">
        <v>1900</v>
      </c>
      <c r="B15" s="7" t="s">
        <v>1889</v>
      </c>
      <c r="C15" s="7" t="s">
        <v>719</v>
      </c>
      <c r="D15" s="7" t="s">
        <v>719</v>
      </c>
      <c r="E15" s="7" t="s">
        <v>1889</v>
      </c>
      <c r="F15" s="7" t="s">
        <v>1889</v>
      </c>
      <c r="G15" s="7" t="s">
        <v>1889</v>
      </c>
      <c r="H15" s="7" t="s">
        <v>1889</v>
      </c>
      <c r="I15" s="7" t="s">
        <v>719</v>
      </c>
      <c r="J15" s="7" t="s">
        <v>1889</v>
      </c>
      <c r="K15" s="7" t="s">
        <v>719</v>
      </c>
      <c r="L15" s="7" t="s">
        <v>719</v>
      </c>
      <c r="M15" s="7" t="s">
        <v>1889</v>
      </c>
    </row>
    <row r="16" customFormat="false" ht="15" hidden="false" customHeight="false" outlineLevel="0" collapsed="false">
      <c r="A16" s="7" t="s">
        <v>1901</v>
      </c>
      <c r="B16" s="7" t="s">
        <v>1889</v>
      </c>
      <c r="C16" s="7" t="s">
        <v>1889</v>
      </c>
      <c r="D16" s="7" t="s">
        <v>1889</v>
      </c>
      <c r="E16" s="7" t="s">
        <v>1889</v>
      </c>
      <c r="F16" s="7" t="s">
        <v>1889</v>
      </c>
      <c r="G16" s="7" t="s">
        <v>1889</v>
      </c>
      <c r="H16" s="7" t="s">
        <v>1889</v>
      </c>
      <c r="I16" s="7" t="s">
        <v>719</v>
      </c>
      <c r="J16" s="7" t="s">
        <v>1889</v>
      </c>
      <c r="K16" s="7" t="s">
        <v>719</v>
      </c>
      <c r="L16" s="7" t="s">
        <v>1889</v>
      </c>
      <c r="M16" s="7" t="s">
        <v>1889</v>
      </c>
    </row>
    <row r="17" customFormat="false" ht="15" hidden="false" customHeight="false" outlineLevel="0" collapsed="false">
      <c r="A17" s="7" t="s">
        <v>1902</v>
      </c>
      <c r="B17" s="7" t="s">
        <v>1889</v>
      </c>
      <c r="C17" s="7" t="s">
        <v>719</v>
      </c>
      <c r="D17" s="7" t="s">
        <v>719</v>
      </c>
      <c r="E17" s="7" t="s">
        <v>719</v>
      </c>
      <c r="F17" s="7" t="s">
        <v>1889</v>
      </c>
      <c r="G17" s="7" t="s">
        <v>1889</v>
      </c>
      <c r="H17" s="7" t="s">
        <v>1889</v>
      </c>
      <c r="I17" s="7" t="s">
        <v>719</v>
      </c>
      <c r="J17" s="7" t="s">
        <v>719</v>
      </c>
      <c r="K17" s="7" t="s">
        <v>719</v>
      </c>
      <c r="L17" s="7" t="s">
        <v>1889</v>
      </c>
      <c r="M17" s="7" t="s">
        <v>719</v>
      </c>
    </row>
    <row r="18" customFormat="false" ht="15" hidden="false" customHeight="false" outlineLevel="0" collapsed="false">
      <c r="A18" s="7" t="s">
        <v>1903</v>
      </c>
      <c r="B18" s="7" t="s">
        <v>1889</v>
      </c>
      <c r="C18" s="7" t="s">
        <v>1889</v>
      </c>
      <c r="D18" s="7" t="s">
        <v>719</v>
      </c>
      <c r="E18" s="7" t="s">
        <v>719</v>
      </c>
      <c r="F18" s="7" t="s">
        <v>1889</v>
      </c>
      <c r="G18" s="7" t="s">
        <v>1889</v>
      </c>
      <c r="H18" s="7" t="s">
        <v>1889</v>
      </c>
      <c r="I18" s="7" t="s">
        <v>1889</v>
      </c>
      <c r="J18" s="7" t="s">
        <v>719</v>
      </c>
      <c r="K18" s="7" t="s">
        <v>719</v>
      </c>
      <c r="L18" s="7" t="s">
        <v>719</v>
      </c>
      <c r="M18" s="7" t="s">
        <v>1889</v>
      </c>
    </row>
    <row r="19" customFormat="false" ht="15" hidden="false" customHeight="false" outlineLevel="0" collapsed="false">
      <c r="A19" s="7" t="s">
        <v>1904</v>
      </c>
      <c r="B19" s="7" t="s">
        <v>1889</v>
      </c>
      <c r="C19" s="7" t="s">
        <v>719</v>
      </c>
      <c r="D19" s="7" t="s">
        <v>719</v>
      </c>
      <c r="E19" s="7" t="s">
        <v>719</v>
      </c>
      <c r="F19" s="7" t="s">
        <v>1889</v>
      </c>
      <c r="G19" s="7" t="s">
        <v>1889</v>
      </c>
      <c r="H19" s="7" t="s">
        <v>1889</v>
      </c>
      <c r="I19" s="7" t="s">
        <v>719</v>
      </c>
      <c r="J19" s="7" t="s">
        <v>1889</v>
      </c>
      <c r="K19" s="7" t="s">
        <v>719</v>
      </c>
      <c r="L19" s="7" t="s">
        <v>719</v>
      </c>
      <c r="M19" s="7" t="s">
        <v>719</v>
      </c>
    </row>
    <row r="20" customFormat="false" ht="15" hidden="false" customHeight="false" outlineLevel="0" collapsed="false">
      <c r="A20" s="7" t="s">
        <v>1905</v>
      </c>
      <c r="B20" s="7" t="s">
        <v>1889</v>
      </c>
      <c r="C20" s="7" t="s">
        <v>1889</v>
      </c>
      <c r="D20" s="7" t="s">
        <v>1889</v>
      </c>
      <c r="E20" s="7" t="s">
        <v>1889</v>
      </c>
      <c r="F20" s="7" t="s">
        <v>1889</v>
      </c>
      <c r="G20" s="7" t="s">
        <v>1889</v>
      </c>
      <c r="H20" s="7" t="s">
        <v>1889</v>
      </c>
      <c r="I20" s="7" t="s">
        <v>1889</v>
      </c>
      <c r="J20" s="7" t="s">
        <v>1889</v>
      </c>
      <c r="K20" s="7" t="s">
        <v>719</v>
      </c>
      <c r="L20" s="7" t="s">
        <v>1889</v>
      </c>
      <c r="M20" s="7" t="s">
        <v>1889</v>
      </c>
    </row>
    <row r="21" customFormat="false" ht="15" hidden="false" customHeight="false" outlineLevel="0" collapsed="false">
      <c r="A21" s="7" t="s">
        <v>1906</v>
      </c>
      <c r="B21" s="7" t="s">
        <v>1889</v>
      </c>
      <c r="C21" s="7" t="s">
        <v>1889</v>
      </c>
      <c r="D21" s="7" t="s">
        <v>719</v>
      </c>
      <c r="E21" s="7" t="s">
        <v>719</v>
      </c>
      <c r="F21" s="7" t="s">
        <v>1889</v>
      </c>
      <c r="G21" s="7" t="s">
        <v>1889</v>
      </c>
      <c r="H21" s="7" t="s">
        <v>1889</v>
      </c>
      <c r="I21" s="7" t="s">
        <v>719</v>
      </c>
      <c r="J21" s="7" t="s">
        <v>1889</v>
      </c>
      <c r="K21" s="7" t="s">
        <v>719</v>
      </c>
      <c r="L21" s="7" t="s">
        <v>719</v>
      </c>
      <c r="M21" s="7" t="s">
        <v>719</v>
      </c>
    </row>
    <row r="22" customFormat="false" ht="15" hidden="false" customHeight="false" outlineLevel="0" collapsed="false">
      <c r="A22" s="7" t="s">
        <v>1907</v>
      </c>
      <c r="B22" s="7" t="s">
        <v>1889</v>
      </c>
      <c r="C22" s="7" t="s">
        <v>1889</v>
      </c>
      <c r="D22" s="7" t="s">
        <v>1889</v>
      </c>
      <c r="E22" s="7" t="s">
        <v>1889</v>
      </c>
      <c r="F22" s="7" t="s">
        <v>1889</v>
      </c>
      <c r="G22" s="7" t="s">
        <v>1889</v>
      </c>
      <c r="H22" s="7" t="s">
        <v>1889</v>
      </c>
      <c r="I22" s="7" t="s">
        <v>1889</v>
      </c>
      <c r="J22" s="7" t="s">
        <v>1889</v>
      </c>
      <c r="K22" s="7" t="s">
        <v>719</v>
      </c>
      <c r="L22" s="7" t="s">
        <v>1889</v>
      </c>
      <c r="M22" s="7" t="s">
        <v>1889</v>
      </c>
    </row>
    <row r="23" customFormat="false" ht="15" hidden="false" customHeight="false" outlineLevel="0" collapsed="false">
      <c r="A23" s="7" t="s">
        <v>1908</v>
      </c>
      <c r="B23" s="7" t="s">
        <v>1889</v>
      </c>
      <c r="C23" s="7" t="s">
        <v>1889</v>
      </c>
      <c r="D23" s="7" t="s">
        <v>1889</v>
      </c>
      <c r="E23" s="7" t="s">
        <v>719</v>
      </c>
      <c r="F23" s="7" t="s">
        <v>1889</v>
      </c>
      <c r="G23" s="7" t="s">
        <v>1889</v>
      </c>
      <c r="H23" s="7" t="s">
        <v>1889</v>
      </c>
      <c r="I23" s="7" t="s">
        <v>719</v>
      </c>
      <c r="J23" s="7" t="s">
        <v>1889</v>
      </c>
      <c r="K23" s="7" t="s">
        <v>719</v>
      </c>
      <c r="L23" s="7" t="s">
        <v>1889</v>
      </c>
      <c r="M23" s="7" t="s">
        <v>1889</v>
      </c>
    </row>
    <row r="24" customFormat="false" ht="15" hidden="false" customHeight="false" outlineLevel="0" collapsed="false">
      <c r="A24" s="7" t="s">
        <v>1909</v>
      </c>
      <c r="B24" s="7" t="s">
        <v>1889</v>
      </c>
      <c r="C24" s="7" t="s">
        <v>1889</v>
      </c>
      <c r="D24" s="7" t="s">
        <v>1889</v>
      </c>
      <c r="E24" s="7" t="s">
        <v>1889</v>
      </c>
      <c r="F24" s="7" t="s">
        <v>1889</v>
      </c>
      <c r="G24" s="7" t="s">
        <v>1889</v>
      </c>
      <c r="H24" s="7" t="s">
        <v>1889</v>
      </c>
      <c r="I24" s="7" t="s">
        <v>1889</v>
      </c>
      <c r="J24" s="7" t="s">
        <v>1889</v>
      </c>
      <c r="K24" s="7" t="s">
        <v>719</v>
      </c>
      <c r="L24" s="7" t="s">
        <v>1889</v>
      </c>
      <c r="M24" s="7" t="s">
        <v>1889</v>
      </c>
    </row>
    <row r="25" customFormat="false" ht="15" hidden="false" customHeight="false" outlineLevel="0" collapsed="false">
      <c r="A25" s="7" t="s">
        <v>1910</v>
      </c>
      <c r="B25" s="7" t="s">
        <v>1889</v>
      </c>
      <c r="C25" s="7" t="s">
        <v>1889</v>
      </c>
      <c r="D25" s="7" t="s">
        <v>719</v>
      </c>
      <c r="E25" s="7" t="s">
        <v>719</v>
      </c>
      <c r="F25" s="7" t="s">
        <v>1889</v>
      </c>
      <c r="G25" s="7" t="s">
        <v>1889</v>
      </c>
      <c r="H25" s="7" t="s">
        <v>1889</v>
      </c>
      <c r="I25" s="7" t="s">
        <v>719</v>
      </c>
      <c r="J25" s="7" t="s">
        <v>1889</v>
      </c>
      <c r="K25" s="7" t="s">
        <v>719</v>
      </c>
      <c r="L25" s="7" t="s">
        <v>719</v>
      </c>
      <c r="M25" s="7" t="s">
        <v>1889</v>
      </c>
    </row>
    <row r="26" customFormat="false" ht="15" hidden="false" customHeight="false" outlineLevel="0" collapsed="false">
      <c r="A26" s="7" t="s">
        <v>1911</v>
      </c>
      <c r="B26" s="7" t="s">
        <v>1889</v>
      </c>
      <c r="C26" s="7" t="s">
        <v>1889</v>
      </c>
      <c r="D26" s="7" t="s">
        <v>719</v>
      </c>
      <c r="E26" s="7" t="s">
        <v>719</v>
      </c>
      <c r="F26" s="7" t="s">
        <v>1889</v>
      </c>
      <c r="G26" s="7" t="s">
        <v>1889</v>
      </c>
      <c r="H26" s="7" t="s">
        <v>1889</v>
      </c>
      <c r="I26" s="7" t="s">
        <v>719</v>
      </c>
      <c r="J26" s="7" t="s">
        <v>719</v>
      </c>
      <c r="K26" s="7" t="s">
        <v>719</v>
      </c>
      <c r="L26" s="7" t="s">
        <v>719</v>
      </c>
      <c r="M26" s="7" t="s">
        <v>1889</v>
      </c>
    </row>
    <row r="27" customFormat="false" ht="15" hidden="false" customHeight="false" outlineLevel="0" collapsed="false">
      <c r="A27" s="7" t="s">
        <v>1912</v>
      </c>
      <c r="B27" s="7" t="s">
        <v>1889</v>
      </c>
      <c r="C27" s="7" t="s">
        <v>719</v>
      </c>
      <c r="D27" s="7" t="s">
        <v>719</v>
      </c>
      <c r="E27" s="7" t="s">
        <v>719</v>
      </c>
      <c r="F27" s="7" t="s">
        <v>1889</v>
      </c>
      <c r="G27" s="7" t="s">
        <v>1889</v>
      </c>
      <c r="H27" s="7" t="s">
        <v>1889</v>
      </c>
      <c r="I27" s="7" t="s">
        <v>719</v>
      </c>
      <c r="J27" s="7" t="s">
        <v>1889</v>
      </c>
      <c r="K27" s="7" t="s">
        <v>719</v>
      </c>
      <c r="L27" s="7" t="s">
        <v>719</v>
      </c>
      <c r="M27" s="7" t="s">
        <v>719</v>
      </c>
    </row>
    <row r="28" customFormat="false" ht="15" hidden="false" customHeight="false" outlineLevel="0" collapsed="false">
      <c r="A28" s="7" t="s">
        <v>1913</v>
      </c>
      <c r="B28" s="7" t="s">
        <v>1889</v>
      </c>
      <c r="C28" s="7" t="s">
        <v>1889</v>
      </c>
      <c r="D28" s="7" t="s">
        <v>719</v>
      </c>
      <c r="E28" s="7" t="s">
        <v>719</v>
      </c>
      <c r="F28" s="7" t="s">
        <v>1889</v>
      </c>
      <c r="G28" s="7" t="s">
        <v>1889</v>
      </c>
      <c r="H28" s="7" t="s">
        <v>1889</v>
      </c>
      <c r="I28" s="7" t="s">
        <v>719</v>
      </c>
      <c r="J28" s="7" t="s">
        <v>1889</v>
      </c>
      <c r="K28" s="7" t="s">
        <v>1889</v>
      </c>
      <c r="L28" s="7" t="s">
        <v>1889</v>
      </c>
      <c r="M28" s="7" t="s">
        <v>1889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6"/>
    <col collapsed="false" customWidth="true" hidden="false" outlineLevel="0" max="4" min="4" style="0" width="110"/>
  </cols>
  <sheetData>
    <row r="1" customFormat="false" ht="15" hidden="false" customHeight="false" outlineLevel="0" collapsed="false">
      <c r="A1" s="4" t="s">
        <v>1914</v>
      </c>
      <c r="B1" s="4" t="s">
        <v>1915</v>
      </c>
      <c r="C1" s="4" t="s">
        <v>1916</v>
      </c>
      <c r="D1" s="4" t="s">
        <v>1917</v>
      </c>
    </row>
    <row r="2" customFormat="false" ht="15" hidden="false" customHeight="false" outlineLevel="0" collapsed="false">
      <c r="A2" s="7" t="s">
        <v>1918</v>
      </c>
      <c r="B2" s="7" t="s">
        <v>1919</v>
      </c>
      <c r="C2" s="7" t="s">
        <v>1920</v>
      </c>
      <c r="D2" s="8" t="s">
        <v>1921</v>
      </c>
    </row>
    <row r="3" customFormat="false" ht="23.85" hidden="false" customHeight="false" outlineLevel="0" collapsed="false">
      <c r="A3" s="7" t="s">
        <v>1922</v>
      </c>
      <c r="B3" s="7" t="s">
        <v>46</v>
      </c>
      <c r="C3" s="7" t="s">
        <v>1923</v>
      </c>
      <c r="D3" s="8" t="s">
        <v>1924</v>
      </c>
    </row>
    <row r="4" customFormat="false" ht="23.85" hidden="false" customHeight="false" outlineLevel="0" collapsed="false">
      <c r="A4" s="7" t="s">
        <v>1925</v>
      </c>
      <c r="B4" s="7" t="s">
        <v>46</v>
      </c>
      <c r="C4" s="7" t="s">
        <v>1923</v>
      </c>
      <c r="D4" s="8" t="s">
        <v>1926</v>
      </c>
    </row>
    <row r="5" customFormat="false" ht="35.05" hidden="false" customHeight="false" outlineLevel="0" collapsed="false">
      <c r="A5" s="7" t="s">
        <v>1927</v>
      </c>
      <c r="B5" s="7" t="s">
        <v>46</v>
      </c>
      <c r="C5" s="7" t="s">
        <v>1923</v>
      </c>
      <c r="D5" s="8" t="s">
        <v>1928</v>
      </c>
    </row>
    <row r="6" customFormat="false" ht="23.85" hidden="false" customHeight="false" outlineLevel="0" collapsed="false">
      <c r="A6" s="7" t="s">
        <v>1929</v>
      </c>
      <c r="B6" s="7" t="s">
        <v>46</v>
      </c>
      <c r="C6" s="7" t="s">
        <v>1923</v>
      </c>
      <c r="D6" s="8" t="s">
        <v>1930</v>
      </c>
    </row>
    <row r="7" customFormat="false" ht="15" hidden="false" customHeight="false" outlineLevel="0" collapsed="false">
      <c r="A7" s="7" t="s">
        <v>1931</v>
      </c>
      <c r="B7" s="7"/>
      <c r="C7" s="7"/>
      <c r="D7" s="8" t="s">
        <v>1932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2026-10-23T10:18:29Z</dcterms:created>
  <dc:creator>openpyxl</dc:creator>
  <dc:description/>
  <dc:language>en-US</dc:language>
  <cp:lastModifiedBy/>
  <dcterms:modified xsi:type="dcterms:W3CDTF">2026-10-23T10:18:30Z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